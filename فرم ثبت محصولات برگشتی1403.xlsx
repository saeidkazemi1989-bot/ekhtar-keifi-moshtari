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2.xml" ContentType="application/vnd.openxmlformats-officedocument.spreadsheetml.pivot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0" documentId="13_ncr:1_{AD16DAD4-593D-40EC-BC1C-9442A2583051}" xr6:coauthVersionLast="47" xr6:coauthVersionMax="47" xr10:uidLastSave="{00000000-0000-0000-0000-000000000000}"/>
  <bookViews>
    <workbookView xWindow="-120" yWindow="-120" windowWidth="24240" windowHeight="13020" activeTab="2" xr2:uid="{00000000-000D-0000-FFFF-FFFF00000000}"/>
  </bookViews>
  <sheets>
    <sheet name="Sheet7" sheetId="19" r:id="rId1"/>
    <sheet name="لیست قطعات برگشتی1403 (2)" sheetId="20" r:id="rId2"/>
    <sheet name="لیست قطعات برگشتی1403" sheetId="2" r:id="rId3"/>
    <sheet name="Sheet1" sheetId="10" r:id="rId4"/>
    <sheet name="ماه" sheetId="11" r:id="rId5"/>
    <sheet name="ارسال" sheetId="14" r:id="rId6"/>
    <sheet name="PPM" sheetId="15" r:id="rId7"/>
    <sheet name="نمره عملکرد" sheetId="16" r:id="rId8"/>
    <sheet name="Sheet4" sheetId="17" r:id="rId9"/>
    <sheet name="Sheet5" sheetId="12" r:id="rId10"/>
    <sheet name="6M" sheetId="13" r:id="rId11"/>
  </sheets>
  <definedNames>
    <definedName name="_xlnm._FilterDatabase" localSheetId="2" hidden="1">'لیست قطعات برگشتی1403'!$A$1:$AG$322</definedName>
    <definedName name="_xlnm._FilterDatabase" localSheetId="1" hidden="1">'لیست قطعات برگشتی1403 (2)'!$A$1:$AF$352</definedName>
    <definedName name="_xlnm.Print_Area" localSheetId="2">'لیست قطعات برگشتی1403'!$C$1:$AD$223</definedName>
    <definedName name="_xlnm.Print_Area" localSheetId="1">'لیست قطعات برگشتی1403 (2)'!$B$1:$AC$223</definedName>
  </definedNames>
  <calcPr calcId="191029"/>
  <pivotCaches>
    <pivotCache cacheId="1"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51" i="20" l="1"/>
  <c r="D352" i="20"/>
  <c r="E351" i="20"/>
  <c r="E352" i="20"/>
  <c r="G351" i="20"/>
  <c r="G352" i="20"/>
  <c r="H351" i="20"/>
  <c r="H352" i="20"/>
  <c r="D349" i="20"/>
  <c r="D350" i="20"/>
  <c r="E349" i="20"/>
  <c r="E350" i="20"/>
  <c r="G349" i="20"/>
  <c r="G350" i="20"/>
  <c r="H349" i="20"/>
  <c r="H350" i="20"/>
  <c r="D348" i="20"/>
  <c r="E348" i="20"/>
  <c r="G348" i="20"/>
  <c r="H348" i="20"/>
  <c r="D347" i="20"/>
  <c r="E347" i="20"/>
  <c r="G347" i="20"/>
  <c r="H347" i="20"/>
  <c r="D339" i="20"/>
  <c r="D340" i="20"/>
  <c r="D341" i="20"/>
  <c r="D342" i="20"/>
  <c r="D343" i="20"/>
  <c r="D344" i="20"/>
  <c r="D345" i="20"/>
  <c r="D346" i="20"/>
  <c r="E339" i="20"/>
  <c r="E340" i="20"/>
  <c r="E341" i="20"/>
  <c r="E342" i="20"/>
  <c r="E343" i="20"/>
  <c r="E344" i="20"/>
  <c r="E345" i="20"/>
  <c r="E346" i="20"/>
  <c r="G339" i="20"/>
  <c r="G340" i="20"/>
  <c r="G341" i="20"/>
  <c r="G342" i="20"/>
  <c r="G343" i="20"/>
  <c r="G344" i="20"/>
  <c r="G345" i="20"/>
  <c r="G346" i="20"/>
  <c r="H339" i="20"/>
  <c r="H340" i="20"/>
  <c r="H341" i="20"/>
  <c r="H342" i="20"/>
  <c r="H343" i="20"/>
  <c r="H344" i="20"/>
  <c r="H345" i="20"/>
  <c r="H346" i="20"/>
  <c r="D338" i="20"/>
  <c r="E338" i="20"/>
  <c r="G338" i="20"/>
  <c r="H338" i="20"/>
  <c r="D337" i="20"/>
  <c r="E337" i="20"/>
  <c r="G337" i="20"/>
  <c r="H337" i="20"/>
  <c r="D336" i="20"/>
  <c r="E336" i="20"/>
  <c r="G336" i="20"/>
  <c r="H336" i="20"/>
  <c r="D335" i="20"/>
  <c r="E335" i="20"/>
  <c r="G335" i="20"/>
  <c r="H335" i="20"/>
  <c r="D334" i="20"/>
  <c r="E334" i="20"/>
  <c r="G334" i="20"/>
  <c r="H334" i="20"/>
  <c r="D333" i="20"/>
  <c r="E333" i="20"/>
  <c r="G333" i="20"/>
  <c r="H333" i="20"/>
  <c r="D332" i="20"/>
  <c r="E332" i="20"/>
  <c r="G332" i="20"/>
  <c r="H332" i="20"/>
  <c r="D331" i="20"/>
  <c r="E331" i="20"/>
  <c r="G331" i="20"/>
  <c r="H331" i="20"/>
  <c r="D330" i="20"/>
  <c r="E330" i="20"/>
  <c r="G330" i="20"/>
  <c r="H330" i="20"/>
  <c r="D327" i="20"/>
  <c r="D328" i="20"/>
  <c r="D329" i="20"/>
  <c r="E327" i="20"/>
  <c r="E328" i="20"/>
  <c r="E329" i="20"/>
  <c r="G327" i="20"/>
  <c r="G328" i="20"/>
  <c r="G329" i="20"/>
  <c r="H327" i="20"/>
  <c r="H328" i="20"/>
  <c r="H329" i="20"/>
  <c r="D326" i="20"/>
  <c r="E326" i="20"/>
  <c r="G326" i="20"/>
  <c r="H326" i="20"/>
  <c r="D324" i="20"/>
  <c r="D325" i="20"/>
  <c r="E324" i="20"/>
  <c r="E325" i="20"/>
  <c r="G324" i="20"/>
  <c r="G325" i="20"/>
  <c r="H324" i="20"/>
  <c r="H325" i="20"/>
  <c r="D323" i="20"/>
  <c r="E323" i="20"/>
  <c r="G323" i="20"/>
  <c r="H323" i="20"/>
  <c r="H322" i="20"/>
  <c r="G322" i="20"/>
  <c r="F322" i="20"/>
  <c r="E322" i="20"/>
  <c r="D322" i="20"/>
  <c r="H321" i="20"/>
  <c r="G321" i="20"/>
  <c r="F321" i="20"/>
  <c r="E321" i="20"/>
  <c r="D321" i="20"/>
  <c r="H320" i="20"/>
  <c r="G320" i="20"/>
  <c r="F320" i="20"/>
  <c r="E320" i="20"/>
  <c r="D320" i="20"/>
  <c r="H319" i="20"/>
  <c r="G319" i="20"/>
  <c r="F319" i="20"/>
  <c r="E319" i="20"/>
  <c r="D319" i="20"/>
  <c r="H318" i="20"/>
  <c r="G318" i="20"/>
  <c r="F318" i="20"/>
  <c r="E318" i="20"/>
  <c r="D318" i="20"/>
  <c r="H317" i="20"/>
  <c r="G317" i="20"/>
  <c r="F317" i="20"/>
  <c r="E317" i="20"/>
  <c r="D317" i="20"/>
  <c r="H316" i="20"/>
  <c r="G316" i="20"/>
  <c r="F316" i="20"/>
  <c r="E316" i="20"/>
  <c r="D316" i="20"/>
  <c r="H315" i="20"/>
  <c r="G315" i="20"/>
  <c r="F315" i="20"/>
  <c r="E315" i="20"/>
  <c r="D315" i="20"/>
  <c r="H314" i="20"/>
  <c r="G314" i="20"/>
  <c r="F314" i="20"/>
  <c r="E314" i="20"/>
  <c r="D314" i="20"/>
  <c r="H313" i="20"/>
  <c r="G313" i="20"/>
  <c r="F313" i="20"/>
  <c r="E313" i="20"/>
  <c r="D313" i="20"/>
  <c r="H312" i="20"/>
  <c r="G312" i="20"/>
  <c r="F312" i="20"/>
  <c r="E312" i="20"/>
  <c r="D312" i="20"/>
  <c r="H311" i="20"/>
  <c r="G311" i="20"/>
  <c r="F311" i="20"/>
  <c r="E311" i="20"/>
  <c r="D311" i="20"/>
  <c r="H310" i="20"/>
  <c r="G310" i="20"/>
  <c r="F310" i="20"/>
  <c r="E310" i="20"/>
  <c r="D310" i="20"/>
  <c r="H309" i="20"/>
  <c r="G309" i="20"/>
  <c r="F309" i="20"/>
  <c r="E309" i="20"/>
  <c r="D309" i="20"/>
  <c r="H308" i="20"/>
  <c r="G308" i="20"/>
  <c r="F308" i="20"/>
  <c r="E308" i="20"/>
  <c r="D308" i="20"/>
  <c r="H307" i="20"/>
  <c r="G307" i="20"/>
  <c r="F307" i="20"/>
  <c r="E307" i="20"/>
  <c r="D307" i="20"/>
  <c r="H306" i="20"/>
  <c r="G306" i="20"/>
  <c r="F306" i="20"/>
  <c r="E306" i="20"/>
  <c r="D306" i="20"/>
  <c r="H305" i="20"/>
  <c r="G305" i="20"/>
  <c r="F305" i="20"/>
  <c r="E305" i="20"/>
  <c r="D305" i="20"/>
  <c r="H304" i="20"/>
  <c r="G304" i="20"/>
  <c r="F304" i="20"/>
  <c r="E304" i="20"/>
  <c r="D304" i="20"/>
  <c r="H303" i="20"/>
  <c r="G303" i="20"/>
  <c r="F303" i="20"/>
  <c r="E303" i="20"/>
  <c r="D303" i="20"/>
  <c r="H302" i="20"/>
  <c r="G302" i="20"/>
  <c r="F302" i="20"/>
  <c r="E302" i="20"/>
  <c r="D302" i="20"/>
  <c r="H301" i="20"/>
  <c r="G301" i="20"/>
  <c r="F301" i="20"/>
  <c r="E301" i="20"/>
  <c r="D301" i="20"/>
  <c r="H300" i="20"/>
  <c r="G300" i="20"/>
  <c r="F300" i="20"/>
  <c r="E300" i="20"/>
  <c r="D300" i="20"/>
  <c r="H299" i="20"/>
  <c r="G299" i="20"/>
  <c r="F299" i="20"/>
  <c r="E299" i="20"/>
  <c r="D299" i="20"/>
  <c r="H298" i="20"/>
  <c r="G298" i="20"/>
  <c r="F298" i="20"/>
  <c r="E298" i="20"/>
  <c r="D298" i="20"/>
  <c r="H297" i="20"/>
  <c r="G297" i="20"/>
  <c r="F297" i="20"/>
  <c r="E297" i="20"/>
  <c r="D297" i="20"/>
  <c r="H296" i="20"/>
  <c r="G296" i="20"/>
  <c r="F296" i="20"/>
  <c r="E296" i="20"/>
  <c r="D296" i="20"/>
  <c r="H295" i="20"/>
  <c r="G295" i="20"/>
  <c r="F295" i="20"/>
  <c r="E295" i="20"/>
  <c r="D295" i="20"/>
  <c r="H294" i="20"/>
  <c r="G294" i="20"/>
  <c r="F294" i="20"/>
  <c r="E294" i="20"/>
  <c r="D294" i="20"/>
  <c r="H293" i="20"/>
  <c r="G293" i="20"/>
  <c r="F293" i="20"/>
  <c r="E293" i="20"/>
  <c r="D293" i="20"/>
  <c r="H292" i="20"/>
  <c r="G292" i="20"/>
  <c r="F292" i="20"/>
  <c r="E292" i="20"/>
  <c r="D292" i="20"/>
  <c r="H291" i="20"/>
  <c r="G291" i="20"/>
  <c r="F291" i="20"/>
  <c r="E291" i="20"/>
  <c r="D291" i="20"/>
  <c r="H290" i="20"/>
  <c r="G290" i="20"/>
  <c r="F290" i="20"/>
  <c r="E290" i="20"/>
  <c r="D290" i="20"/>
  <c r="H289" i="20"/>
  <c r="G289" i="20"/>
  <c r="F289" i="20"/>
  <c r="E289" i="20"/>
  <c r="D289" i="20"/>
  <c r="H288" i="20"/>
  <c r="G288" i="20"/>
  <c r="F288" i="20"/>
  <c r="E288" i="20"/>
  <c r="D288" i="20"/>
  <c r="H287" i="20"/>
  <c r="G287" i="20"/>
  <c r="F287" i="20"/>
  <c r="E287" i="20"/>
  <c r="D287" i="20"/>
  <c r="H286" i="20"/>
  <c r="G286" i="20"/>
  <c r="F286" i="20"/>
  <c r="E286" i="20"/>
  <c r="D286" i="20"/>
  <c r="H285" i="20"/>
  <c r="G285" i="20"/>
  <c r="F285" i="20"/>
  <c r="E285" i="20"/>
  <c r="D285" i="20"/>
  <c r="H284" i="20"/>
  <c r="G284" i="20"/>
  <c r="F284" i="20"/>
  <c r="E284" i="20"/>
  <c r="D284" i="20"/>
  <c r="H283" i="20"/>
  <c r="G283" i="20"/>
  <c r="F283" i="20"/>
  <c r="E283" i="20"/>
  <c r="D283" i="20"/>
  <c r="H282" i="20"/>
  <c r="G282" i="20"/>
  <c r="F282" i="20"/>
  <c r="E282" i="20"/>
  <c r="D282" i="20"/>
  <c r="H281" i="20"/>
  <c r="G281" i="20"/>
  <c r="F281" i="20"/>
  <c r="E281" i="20"/>
  <c r="D281" i="20"/>
  <c r="H280" i="20"/>
  <c r="G280" i="20"/>
  <c r="F280" i="20"/>
  <c r="E280" i="20"/>
  <c r="D280" i="20"/>
  <c r="H279" i="20"/>
  <c r="G279" i="20"/>
  <c r="F279" i="20"/>
  <c r="E279" i="20"/>
  <c r="D279" i="20"/>
  <c r="H278" i="20"/>
  <c r="G278" i="20"/>
  <c r="F278" i="20"/>
  <c r="E278" i="20"/>
  <c r="D278" i="20"/>
  <c r="H277" i="20"/>
  <c r="G277" i="20"/>
  <c r="F277" i="20"/>
  <c r="E277" i="20"/>
  <c r="D277" i="20"/>
  <c r="H276" i="20"/>
  <c r="G276" i="20"/>
  <c r="F276" i="20"/>
  <c r="E276" i="20"/>
  <c r="D276" i="20"/>
  <c r="H275" i="20"/>
  <c r="G275" i="20"/>
  <c r="F275" i="20"/>
  <c r="E275" i="20"/>
  <c r="D275" i="20"/>
  <c r="H274" i="20"/>
  <c r="G274" i="20"/>
  <c r="F274" i="20"/>
  <c r="E274" i="20"/>
  <c r="D274" i="20"/>
  <c r="H273" i="20"/>
  <c r="G273" i="20"/>
  <c r="F273" i="20"/>
  <c r="E273" i="20"/>
  <c r="D273" i="20"/>
  <c r="H272" i="20"/>
  <c r="G272" i="20"/>
  <c r="F272" i="20"/>
  <c r="E272" i="20"/>
  <c r="D272" i="20"/>
  <c r="H271" i="20"/>
  <c r="G271" i="20"/>
  <c r="F271" i="20"/>
  <c r="E271" i="20"/>
  <c r="D271" i="20"/>
  <c r="H270" i="20"/>
  <c r="G270" i="20"/>
  <c r="F270" i="20"/>
  <c r="E270" i="20"/>
  <c r="D270" i="20"/>
  <c r="H269" i="20"/>
  <c r="G269" i="20"/>
  <c r="F269" i="20"/>
  <c r="E269" i="20"/>
  <c r="D269" i="20"/>
  <c r="H268" i="20"/>
  <c r="G268" i="20"/>
  <c r="F268" i="20"/>
  <c r="E268" i="20"/>
  <c r="D268" i="20"/>
  <c r="H267" i="20"/>
  <c r="G267" i="20"/>
  <c r="F267" i="20"/>
  <c r="E267" i="20"/>
  <c r="D267" i="20"/>
  <c r="H266" i="20"/>
  <c r="G266" i="20"/>
  <c r="F266" i="20"/>
  <c r="E266" i="20"/>
  <c r="D266" i="20"/>
  <c r="H265" i="20"/>
  <c r="G265" i="20"/>
  <c r="F265" i="20"/>
  <c r="E265" i="20"/>
  <c r="D265" i="20"/>
  <c r="H264" i="20"/>
  <c r="G264" i="20"/>
  <c r="F264" i="20"/>
  <c r="E264" i="20"/>
  <c r="D264" i="20"/>
  <c r="H263" i="20"/>
  <c r="G263" i="20"/>
  <c r="F263" i="20"/>
  <c r="E263" i="20"/>
  <c r="D263" i="20"/>
  <c r="H262" i="20"/>
  <c r="G262" i="20"/>
  <c r="F262" i="20"/>
  <c r="E262" i="20"/>
  <c r="D262" i="20"/>
  <c r="H261" i="20"/>
  <c r="G261" i="20"/>
  <c r="F261" i="20"/>
  <c r="E261" i="20"/>
  <c r="D261" i="20"/>
  <c r="H260" i="20"/>
  <c r="G260" i="20"/>
  <c r="F260" i="20"/>
  <c r="E260" i="20"/>
  <c r="D260" i="20"/>
  <c r="H259" i="20"/>
  <c r="G259" i="20"/>
  <c r="F259" i="20"/>
  <c r="E259" i="20"/>
  <c r="D259" i="20"/>
  <c r="H258" i="20"/>
  <c r="G258" i="20"/>
  <c r="F258" i="20"/>
  <c r="E258" i="20"/>
  <c r="D258" i="20"/>
  <c r="H257" i="20"/>
  <c r="G257" i="20"/>
  <c r="F257" i="20"/>
  <c r="E257" i="20"/>
  <c r="D257" i="20"/>
  <c r="H256" i="20"/>
  <c r="G256" i="20"/>
  <c r="F256" i="20"/>
  <c r="E256" i="20"/>
  <c r="D256" i="20"/>
  <c r="H255" i="20"/>
  <c r="G255" i="20"/>
  <c r="F255" i="20"/>
  <c r="E255" i="20"/>
  <c r="D255" i="20"/>
  <c r="H254" i="20"/>
  <c r="G254" i="20"/>
  <c r="F254" i="20"/>
  <c r="E254" i="20"/>
  <c r="D254" i="20"/>
  <c r="H253" i="20"/>
  <c r="G253" i="20"/>
  <c r="F253" i="20"/>
  <c r="E253" i="20"/>
  <c r="D253" i="20"/>
  <c r="H252" i="20"/>
  <c r="G252" i="20"/>
  <c r="F252" i="20"/>
  <c r="E252" i="20"/>
  <c r="D252" i="20"/>
  <c r="H251" i="20"/>
  <c r="G251" i="20"/>
  <c r="F251" i="20"/>
  <c r="E251" i="20"/>
  <c r="D251" i="20"/>
  <c r="H250" i="20"/>
  <c r="G250" i="20"/>
  <c r="F250" i="20"/>
  <c r="E250" i="20"/>
  <c r="D250" i="20"/>
  <c r="H249" i="20"/>
  <c r="G249" i="20"/>
  <c r="F249" i="20"/>
  <c r="E249" i="20"/>
  <c r="D249" i="20"/>
  <c r="H248" i="20"/>
  <c r="G248" i="20"/>
  <c r="F248" i="20"/>
  <c r="E248" i="20"/>
  <c r="D248" i="20"/>
  <c r="H247" i="20"/>
  <c r="G247" i="20"/>
  <c r="F247" i="20"/>
  <c r="E247" i="20"/>
  <c r="D247" i="20"/>
  <c r="H246" i="20"/>
  <c r="G246" i="20"/>
  <c r="F246" i="20"/>
  <c r="E246" i="20"/>
  <c r="D246" i="20"/>
  <c r="H245" i="20"/>
  <c r="G245" i="20"/>
  <c r="F245" i="20"/>
  <c r="E245" i="20"/>
  <c r="D245" i="20"/>
  <c r="H244" i="20"/>
  <c r="G244" i="20"/>
  <c r="F244" i="20"/>
  <c r="E244" i="20"/>
  <c r="D244" i="20"/>
  <c r="H243" i="20"/>
  <c r="G243" i="20"/>
  <c r="F243" i="20"/>
  <c r="E243" i="20"/>
  <c r="D243" i="20"/>
  <c r="H242" i="20"/>
  <c r="G242" i="20"/>
  <c r="F242" i="20"/>
  <c r="E242" i="20"/>
  <c r="D242" i="20"/>
  <c r="H241" i="20"/>
  <c r="G241" i="20"/>
  <c r="F241" i="20"/>
  <c r="E241" i="20"/>
  <c r="D241" i="20"/>
  <c r="H240" i="20"/>
  <c r="G240" i="20"/>
  <c r="F240" i="20"/>
  <c r="E240" i="20"/>
  <c r="D240" i="20"/>
  <c r="H239" i="20"/>
  <c r="G239" i="20"/>
  <c r="F239" i="20"/>
  <c r="E239" i="20"/>
  <c r="D239" i="20"/>
  <c r="H238" i="20"/>
  <c r="G238" i="20"/>
  <c r="F238" i="20"/>
  <c r="E238" i="20"/>
  <c r="D238" i="20"/>
  <c r="H237" i="20"/>
  <c r="G237" i="20"/>
  <c r="F237" i="20"/>
  <c r="E237" i="20"/>
  <c r="D237" i="20"/>
  <c r="H236" i="20"/>
  <c r="G236" i="20"/>
  <c r="F236" i="20"/>
  <c r="E236" i="20"/>
  <c r="D236" i="20"/>
  <c r="H235" i="20"/>
  <c r="G235" i="20"/>
  <c r="F235" i="20"/>
  <c r="E235" i="20"/>
  <c r="D235" i="20"/>
  <c r="H234" i="20"/>
  <c r="G234" i="20"/>
  <c r="F234" i="20"/>
  <c r="E234" i="20"/>
  <c r="D234" i="20"/>
  <c r="H233" i="20"/>
  <c r="G233" i="20"/>
  <c r="F233" i="20"/>
  <c r="E233" i="20"/>
  <c r="D233" i="20"/>
  <c r="H232" i="20"/>
  <c r="G232" i="20"/>
  <c r="F232" i="20"/>
  <c r="E232" i="20"/>
  <c r="D232" i="20"/>
  <c r="H231" i="20"/>
  <c r="G231" i="20"/>
  <c r="F231" i="20"/>
  <c r="E231" i="20"/>
  <c r="D231" i="20"/>
  <c r="H230" i="20"/>
  <c r="G230" i="20"/>
  <c r="F230" i="20"/>
  <c r="E230" i="20"/>
  <c r="D230" i="20"/>
  <c r="H229" i="20"/>
  <c r="G229" i="20"/>
  <c r="F229" i="20"/>
  <c r="E229" i="20"/>
  <c r="D229" i="20"/>
  <c r="H228" i="20"/>
  <c r="G228" i="20"/>
  <c r="F228" i="20"/>
  <c r="E228" i="20"/>
  <c r="D228" i="20"/>
  <c r="H227" i="20"/>
  <c r="G227" i="20"/>
  <c r="F227" i="20"/>
  <c r="E227" i="20"/>
  <c r="D227" i="20"/>
  <c r="H226" i="20"/>
  <c r="G226" i="20"/>
  <c r="F226" i="20"/>
  <c r="E226" i="20"/>
  <c r="D226" i="20"/>
  <c r="H225" i="20"/>
  <c r="G225" i="20"/>
  <c r="F225" i="20"/>
  <c r="E225" i="20"/>
  <c r="D225" i="20"/>
  <c r="H224" i="20"/>
  <c r="G224" i="20"/>
  <c r="F224" i="20"/>
  <c r="E224" i="20"/>
  <c r="D224" i="20"/>
  <c r="H223" i="20"/>
  <c r="G223" i="20"/>
  <c r="F223" i="20"/>
  <c r="E223" i="20"/>
  <c r="D223" i="20"/>
  <c r="H222" i="20"/>
  <c r="G222" i="20"/>
  <c r="F222" i="20"/>
  <c r="E222" i="20"/>
  <c r="D222" i="20"/>
  <c r="H221" i="20"/>
  <c r="G221" i="20"/>
  <c r="F221" i="20"/>
  <c r="E221" i="20"/>
  <c r="D221" i="20"/>
  <c r="H220" i="20"/>
  <c r="G220" i="20"/>
  <c r="F220" i="20"/>
  <c r="E220" i="20"/>
  <c r="D220" i="20"/>
  <c r="H219" i="20"/>
  <c r="G219" i="20"/>
  <c r="F219" i="20"/>
  <c r="E219" i="20"/>
  <c r="D219" i="20"/>
  <c r="H218" i="20"/>
  <c r="G218" i="20"/>
  <c r="F218" i="20"/>
  <c r="E218" i="20"/>
  <c r="D218" i="20"/>
  <c r="H217" i="20"/>
  <c r="G217" i="20"/>
  <c r="F217" i="20"/>
  <c r="E217" i="20"/>
  <c r="D217" i="20"/>
  <c r="H216" i="20"/>
  <c r="G216" i="20"/>
  <c r="F216" i="20"/>
  <c r="E216" i="20"/>
  <c r="D216" i="20"/>
  <c r="H215" i="20"/>
  <c r="G215" i="20"/>
  <c r="F215" i="20"/>
  <c r="E215" i="20"/>
  <c r="D215" i="20"/>
  <c r="H214" i="20"/>
  <c r="G214" i="20"/>
  <c r="F214" i="20"/>
  <c r="E214" i="20"/>
  <c r="D214" i="20"/>
  <c r="H213" i="20"/>
  <c r="G213" i="20"/>
  <c r="F213" i="20"/>
  <c r="E213" i="20"/>
  <c r="D213" i="20"/>
  <c r="H212" i="20"/>
  <c r="G212" i="20"/>
  <c r="F212" i="20"/>
  <c r="E212" i="20"/>
  <c r="D212" i="20"/>
  <c r="H211" i="20"/>
  <c r="G211" i="20"/>
  <c r="F211" i="20"/>
  <c r="E211" i="20"/>
  <c r="D211" i="20"/>
  <c r="H210" i="20"/>
  <c r="G210" i="20"/>
  <c r="F210" i="20"/>
  <c r="E210" i="20"/>
  <c r="D210" i="20"/>
  <c r="H209" i="20"/>
  <c r="G209" i="20"/>
  <c r="F209" i="20"/>
  <c r="E209" i="20"/>
  <c r="D209" i="20"/>
  <c r="H208" i="20"/>
  <c r="G208" i="20"/>
  <c r="F208" i="20"/>
  <c r="E208" i="20"/>
  <c r="D208" i="20"/>
  <c r="H207" i="20"/>
  <c r="G207" i="20"/>
  <c r="F207" i="20"/>
  <c r="E207" i="20"/>
  <c r="D207" i="20"/>
  <c r="H206" i="20"/>
  <c r="G206" i="20"/>
  <c r="F206" i="20"/>
  <c r="E206" i="20"/>
  <c r="D206" i="20"/>
  <c r="H205" i="20"/>
  <c r="G205" i="20"/>
  <c r="F205" i="20"/>
  <c r="E205" i="20"/>
  <c r="D205" i="20"/>
  <c r="H204" i="20"/>
  <c r="G204" i="20"/>
  <c r="F204" i="20"/>
  <c r="E204" i="20"/>
  <c r="D204" i="20"/>
  <c r="H203" i="20"/>
  <c r="G203" i="20"/>
  <c r="F203" i="20"/>
  <c r="E203" i="20"/>
  <c r="D203" i="20"/>
  <c r="H202" i="20"/>
  <c r="G202" i="20"/>
  <c r="F202" i="20"/>
  <c r="E202" i="20"/>
  <c r="D202" i="20"/>
  <c r="H201" i="20"/>
  <c r="G201" i="20"/>
  <c r="F201" i="20"/>
  <c r="E201" i="20"/>
  <c r="D201" i="20"/>
  <c r="H200" i="20"/>
  <c r="G200" i="20"/>
  <c r="F200" i="20"/>
  <c r="E200" i="20"/>
  <c r="D200" i="20"/>
  <c r="H199" i="20"/>
  <c r="G199" i="20"/>
  <c r="F199" i="20"/>
  <c r="E199" i="20"/>
  <c r="D199" i="20"/>
  <c r="H198" i="20"/>
  <c r="G198" i="20"/>
  <c r="F198" i="20"/>
  <c r="E198" i="20"/>
  <c r="D198" i="20"/>
  <c r="H197" i="20"/>
  <c r="G197" i="20"/>
  <c r="F197" i="20"/>
  <c r="E197" i="20"/>
  <c r="D197" i="20"/>
  <c r="H196" i="20"/>
  <c r="G196" i="20"/>
  <c r="F196" i="20"/>
  <c r="E196" i="20"/>
  <c r="D196" i="20"/>
  <c r="H195" i="20"/>
  <c r="G195" i="20"/>
  <c r="F195" i="20"/>
  <c r="E195" i="20"/>
  <c r="D195" i="20"/>
  <c r="H194" i="20"/>
  <c r="G194" i="20"/>
  <c r="F194" i="20"/>
  <c r="E194" i="20"/>
  <c r="D194" i="20"/>
  <c r="H193" i="20"/>
  <c r="G193" i="20"/>
  <c r="F193" i="20"/>
  <c r="E193" i="20"/>
  <c r="D193" i="20"/>
  <c r="H192" i="20"/>
  <c r="G192" i="20"/>
  <c r="F192" i="20"/>
  <c r="E192" i="20"/>
  <c r="D192" i="20"/>
  <c r="H191" i="20"/>
  <c r="G191" i="20"/>
  <c r="F191" i="20"/>
  <c r="E191" i="20"/>
  <c r="D191" i="20"/>
  <c r="H190" i="20"/>
  <c r="G190" i="20"/>
  <c r="F190" i="20"/>
  <c r="E190" i="20"/>
  <c r="D190" i="20"/>
  <c r="H189" i="20"/>
  <c r="G189" i="20"/>
  <c r="F189" i="20"/>
  <c r="E189" i="20"/>
  <c r="D189" i="20"/>
  <c r="H188" i="20"/>
  <c r="G188" i="20"/>
  <c r="F188" i="20"/>
  <c r="E188" i="20"/>
  <c r="D188" i="20"/>
  <c r="H187" i="20"/>
  <c r="G187" i="20"/>
  <c r="F187" i="20"/>
  <c r="E187" i="20"/>
  <c r="D187" i="20"/>
  <c r="H186" i="20"/>
  <c r="G186" i="20"/>
  <c r="F186" i="20"/>
  <c r="E186" i="20"/>
  <c r="D186" i="20"/>
  <c r="H185" i="20"/>
  <c r="G185" i="20"/>
  <c r="F185" i="20"/>
  <c r="E185" i="20"/>
  <c r="D185" i="20"/>
  <c r="H184" i="20"/>
  <c r="G184" i="20"/>
  <c r="F184" i="20"/>
  <c r="E184" i="20"/>
  <c r="D184" i="20"/>
  <c r="H183" i="20"/>
  <c r="G183" i="20"/>
  <c r="F183" i="20"/>
  <c r="E183" i="20"/>
  <c r="D183" i="20"/>
  <c r="H182" i="20"/>
  <c r="G182" i="20"/>
  <c r="F182" i="20"/>
  <c r="E182" i="20"/>
  <c r="D182" i="20"/>
  <c r="H181" i="20"/>
  <c r="G181" i="20"/>
  <c r="F181" i="20"/>
  <c r="E181" i="20"/>
  <c r="D181" i="20"/>
  <c r="H180" i="20"/>
  <c r="G180" i="20"/>
  <c r="F180" i="20"/>
  <c r="E180" i="20"/>
  <c r="D180" i="20"/>
  <c r="H179" i="20"/>
  <c r="G179" i="20"/>
  <c r="F179" i="20"/>
  <c r="E179" i="20"/>
  <c r="D179" i="20"/>
  <c r="H178" i="20"/>
  <c r="G178" i="20"/>
  <c r="F178" i="20"/>
  <c r="E178" i="20"/>
  <c r="D178" i="20"/>
  <c r="H177" i="20"/>
  <c r="G177" i="20"/>
  <c r="F177" i="20"/>
  <c r="E177" i="20"/>
  <c r="D177" i="20"/>
  <c r="H176" i="20"/>
  <c r="G176" i="20"/>
  <c r="F176" i="20"/>
  <c r="E176" i="20"/>
  <c r="D176" i="20"/>
  <c r="H175" i="20"/>
  <c r="G175" i="20"/>
  <c r="F175" i="20"/>
  <c r="E175" i="20"/>
  <c r="D175" i="20"/>
  <c r="H174" i="20"/>
  <c r="G174" i="20"/>
  <c r="F174" i="20"/>
  <c r="E174" i="20"/>
  <c r="D174" i="20"/>
  <c r="H173" i="20"/>
  <c r="G173" i="20"/>
  <c r="F173" i="20"/>
  <c r="E173" i="20"/>
  <c r="D173" i="20"/>
  <c r="H172" i="20"/>
  <c r="G172" i="20"/>
  <c r="F172" i="20"/>
  <c r="E172" i="20"/>
  <c r="D172" i="20"/>
  <c r="H171" i="20"/>
  <c r="G171" i="20"/>
  <c r="F171" i="20"/>
  <c r="E171" i="20"/>
  <c r="D171" i="20"/>
  <c r="H170" i="20"/>
  <c r="G170" i="20"/>
  <c r="F170" i="20"/>
  <c r="E170" i="20"/>
  <c r="D170" i="20"/>
  <c r="H169" i="20"/>
  <c r="G169" i="20"/>
  <c r="F169" i="20"/>
  <c r="E169" i="20"/>
  <c r="D169" i="20"/>
  <c r="H168" i="20"/>
  <c r="G168" i="20"/>
  <c r="F168" i="20"/>
  <c r="E168" i="20"/>
  <c r="D168" i="20"/>
  <c r="H167" i="20"/>
  <c r="G167" i="20"/>
  <c r="F167" i="20"/>
  <c r="E167" i="20"/>
  <c r="D167" i="20"/>
  <c r="H166" i="20"/>
  <c r="G166" i="20"/>
  <c r="F166" i="20"/>
  <c r="E166" i="20"/>
  <c r="D166" i="20"/>
  <c r="H165" i="20"/>
  <c r="G165" i="20"/>
  <c r="F165" i="20"/>
  <c r="E165" i="20"/>
  <c r="D165" i="20"/>
  <c r="H164" i="20"/>
  <c r="G164" i="20"/>
  <c r="F164" i="20"/>
  <c r="E164" i="20"/>
  <c r="D164" i="20"/>
  <c r="H163" i="20"/>
  <c r="G163" i="20"/>
  <c r="F163" i="20"/>
  <c r="E163" i="20"/>
  <c r="D163" i="20"/>
  <c r="H162" i="20"/>
  <c r="G162" i="20"/>
  <c r="F162" i="20"/>
  <c r="E162" i="20"/>
  <c r="D162" i="20"/>
  <c r="H161" i="20"/>
  <c r="G161" i="20"/>
  <c r="F161" i="20"/>
  <c r="E161" i="20"/>
  <c r="D161" i="20"/>
  <c r="H160" i="20"/>
  <c r="G160" i="20"/>
  <c r="F160" i="20"/>
  <c r="E160" i="20"/>
  <c r="D160" i="20"/>
  <c r="H159" i="20"/>
  <c r="G159" i="20"/>
  <c r="F159" i="20"/>
  <c r="E159" i="20"/>
  <c r="D159" i="20"/>
  <c r="H158" i="20"/>
  <c r="G158" i="20"/>
  <c r="F158" i="20"/>
  <c r="E158" i="20"/>
  <c r="D158" i="20"/>
  <c r="H157" i="20"/>
  <c r="G157" i="20"/>
  <c r="F157" i="20"/>
  <c r="E157" i="20"/>
  <c r="D157" i="20"/>
  <c r="H156" i="20"/>
  <c r="G156" i="20"/>
  <c r="F156" i="20"/>
  <c r="E156" i="20"/>
  <c r="D156" i="20"/>
  <c r="H155" i="20"/>
  <c r="G155" i="20"/>
  <c r="F155" i="20"/>
  <c r="E155" i="20"/>
  <c r="D155" i="20"/>
  <c r="H154" i="20"/>
  <c r="G154" i="20"/>
  <c r="F154" i="20"/>
  <c r="E154" i="20"/>
  <c r="D154" i="20"/>
  <c r="H153" i="20"/>
  <c r="G153" i="20"/>
  <c r="F153" i="20"/>
  <c r="E153" i="20"/>
  <c r="D153" i="20"/>
  <c r="H152" i="20"/>
  <c r="G152" i="20"/>
  <c r="F152" i="20"/>
  <c r="E152" i="20"/>
  <c r="D152" i="20"/>
  <c r="H151" i="20"/>
  <c r="G151" i="20"/>
  <c r="F151" i="20"/>
  <c r="E151" i="20"/>
  <c r="D151" i="20"/>
  <c r="H150" i="20"/>
  <c r="G150" i="20"/>
  <c r="F150" i="20"/>
  <c r="E150" i="20"/>
  <c r="D150" i="20"/>
  <c r="H149" i="20"/>
  <c r="G149" i="20"/>
  <c r="F149" i="20"/>
  <c r="E149" i="20"/>
  <c r="D149" i="20"/>
  <c r="H148" i="20"/>
  <c r="G148" i="20"/>
  <c r="F148" i="20"/>
  <c r="E148" i="20"/>
  <c r="D148" i="20"/>
  <c r="H147" i="20"/>
  <c r="G147" i="20"/>
  <c r="F147" i="20"/>
  <c r="E147" i="20"/>
  <c r="D147" i="20"/>
  <c r="H146" i="20"/>
  <c r="G146" i="20"/>
  <c r="F146" i="20"/>
  <c r="E146" i="20"/>
  <c r="D146" i="20"/>
  <c r="H145" i="20"/>
  <c r="G145" i="20"/>
  <c r="F145" i="20"/>
  <c r="E145" i="20"/>
  <c r="D145" i="20"/>
  <c r="H144" i="20"/>
  <c r="G144" i="20"/>
  <c r="F144" i="20"/>
  <c r="E144" i="20"/>
  <c r="D144" i="20"/>
  <c r="H143" i="20"/>
  <c r="G143" i="20"/>
  <c r="F143" i="20"/>
  <c r="E143" i="20"/>
  <c r="D143" i="20"/>
  <c r="H142" i="20"/>
  <c r="G142" i="20"/>
  <c r="F142" i="20"/>
  <c r="E142" i="20"/>
  <c r="D142" i="20"/>
  <c r="H141" i="20"/>
  <c r="G141" i="20"/>
  <c r="F141" i="20"/>
  <c r="E141" i="20"/>
  <c r="D141" i="20"/>
  <c r="H140" i="20"/>
  <c r="G140" i="20"/>
  <c r="F140" i="20"/>
  <c r="E140" i="20"/>
  <c r="D140" i="20"/>
  <c r="H139" i="20"/>
  <c r="G139" i="20"/>
  <c r="F139" i="20"/>
  <c r="E139" i="20"/>
  <c r="D139" i="20"/>
  <c r="H138" i="20"/>
  <c r="G138" i="20"/>
  <c r="F138" i="20"/>
  <c r="E138" i="20"/>
  <c r="D138" i="20"/>
  <c r="H137" i="20"/>
  <c r="G137" i="20"/>
  <c r="F137" i="20"/>
  <c r="E137" i="20"/>
  <c r="D137" i="20"/>
  <c r="H136" i="20"/>
  <c r="G136" i="20"/>
  <c r="F136" i="20"/>
  <c r="E136" i="20"/>
  <c r="D136" i="20"/>
  <c r="H135" i="20"/>
  <c r="G135" i="20"/>
  <c r="F135" i="20"/>
  <c r="E135" i="20"/>
  <c r="D135" i="20"/>
  <c r="H134" i="20"/>
  <c r="G134" i="20"/>
  <c r="F134" i="20"/>
  <c r="E134" i="20"/>
  <c r="D134" i="20"/>
  <c r="H133" i="20"/>
  <c r="G133" i="20"/>
  <c r="F133" i="20"/>
  <c r="E133" i="20"/>
  <c r="D133" i="20"/>
  <c r="H132" i="20"/>
  <c r="G132" i="20"/>
  <c r="F132" i="20"/>
  <c r="E132" i="20"/>
  <c r="D132" i="20"/>
  <c r="H131" i="20"/>
  <c r="G131" i="20"/>
  <c r="F131" i="20"/>
  <c r="E131" i="20"/>
  <c r="D131" i="20"/>
  <c r="H130" i="20"/>
  <c r="G130" i="20"/>
  <c r="F130" i="20"/>
  <c r="E130" i="20"/>
  <c r="D130" i="20"/>
  <c r="H129" i="20"/>
  <c r="G129" i="20"/>
  <c r="F129" i="20"/>
  <c r="E129" i="20"/>
  <c r="D129" i="20"/>
  <c r="H128" i="20"/>
  <c r="G128" i="20"/>
  <c r="F128" i="20"/>
  <c r="E128" i="20"/>
  <c r="D128" i="20"/>
  <c r="H127" i="20"/>
  <c r="G127" i="20"/>
  <c r="F127" i="20"/>
  <c r="E127" i="20"/>
  <c r="D127" i="20"/>
  <c r="H126" i="20"/>
  <c r="G126" i="20"/>
  <c r="F126" i="20"/>
  <c r="E126" i="20"/>
  <c r="D126" i="20"/>
  <c r="H125" i="20"/>
  <c r="G125" i="20"/>
  <c r="F125" i="20"/>
  <c r="E125" i="20"/>
  <c r="D125" i="20"/>
  <c r="H124" i="20"/>
  <c r="G124" i="20"/>
  <c r="F124" i="20"/>
  <c r="E124" i="20"/>
  <c r="D124" i="20"/>
  <c r="H123" i="20"/>
  <c r="G123" i="20"/>
  <c r="E123" i="20"/>
  <c r="D123" i="20"/>
  <c r="H122" i="20"/>
  <c r="G122" i="20"/>
  <c r="E122" i="20"/>
  <c r="D122" i="20"/>
  <c r="H121" i="20"/>
  <c r="G121" i="20"/>
  <c r="E121" i="20"/>
  <c r="D121" i="20"/>
  <c r="H120" i="20"/>
  <c r="G120" i="20"/>
  <c r="E120" i="20"/>
  <c r="D120" i="20"/>
  <c r="H119" i="20"/>
  <c r="G119" i="20"/>
  <c r="E119" i="20"/>
  <c r="D119" i="20"/>
  <c r="H118" i="20"/>
  <c r="G118" i="20"/>
  <c r="E118" i="20"/>
  <c r="D118" i="20"/>
  <c r="H117" i="20"/>
  <c r="G117" i="20"/>
  <c r="E117" i="20"/>
  <c r="D117" i="20"/>
  <c r="H116" i="20"/>
  <c r="G116" i="20"/>
  <c r="E116" i="20"/>
  <c r="D116" i="20"/>
  <c r="H115" i="20"/>
  <c r="G115" i="20"/>
  <c r="E115" i="20"/>
  <c r="D115" i="20"/>
  <c r="H114" i="20"/>
  <c r="G114" i="20"/>
  <c r="E114" i="20"/>
  <c r="D114" i="20"/>
  <c r="H113" i="20"/>
  <c r="G113" i="20"/>
  <c r="E113" i="20"/>
  <c r="D113" i="20"/>
  <c r="H112" i="20"/>
  <c r="G112" i="20"/>
  <c r="E112" i="20"/>
  <c r="D112" i="20"/>
  <c r="H111" i="20"/>
  <c r="G111" i="20"/>
  <c r="E111" i="20"/>
  <c r="D111" i="20"/>
  <c r="H110" i="20"/>
  <c r="G110" i="20"/>
  <c r="E110" i="20"/>
  <c r="D110" i="20"/>
  <c r="H109" i="20"/>
  <c r="G109" i="20"/>
  <c r="E109" i="20"/>
  <c r="D109" i="20"/>
  <c r="H108" i="20"/>
  <c r="G108" i="20"/>
  <c r="E108" i="20"/>
  <c r="D108" i="20"/>
  <c r="H107" i="20"/>
  <c r="G107" i="20"/>
  <c r="E107" i="20"/>
  <c r="D107" i="20"/>
  <c r="H106" i="20"/>
  <c r="G106" i="20"/>
  <c r="E106" i="20"/>
  <c r="D106" i="20"/>
  <c r="H105" i="20"/>
  <c r="G105" i="20"/>
  <c r="E105" i="20"/>
  <c r="D105" i="20"/>
  <c r="H104" i="20"/>
  <c r="G104" i="20"/>
  <c r="E104" i="20"/>
  <c r="D104" i="20"/>
  <c r="H103" i="20"/>
  <c r="G103" i="20"/>
  <c r="E103" i="20"/>
  <c r="D103" i="20"/>
  <c r="H102" i="20"/>
  <c r="G102" i="20"/>
  <c r="E102" i="20"/>
  <c r="D102" i="20"/>
  <c r="H101" i="20"/>
  <c r="G101" i="20"/>
  <c r="E101" i="20"/>
  <c r="D101" i="20"/>
  <c r="H100" i="20"/>
  <c r="G100" i="20"/>
  <c r="E100" i="20"/>
  <c r="D100" i="20"/>
  <c r="H99" i="20"/>
  <c r="G99" i="20"/>
  <c r="E99" i="20"/>
  <c r="D99" i="20"/>
  <c r="H98" i="20"/>
  <c r="G98" i="20"/>
  <c r="E98" i="20"/>
  <c r="D98" i="20"/>
  <c r="H97" i="20"/>
  <c r="G97" i="20"/>
  <c r="E97" i="20"/>
  <c r="D97" i="20"/>
  <c r="H96" i="20"/>
  <c r="G96" i="20"/>
  <c r="E96" i="20"/>
  <c r="D96" i="20"/>
  <c r="H95" i="20"/>
  <c r="G95" i="20"/>
  <c r="E95" i="20"/>
  <c r="D95" i="20"/>
  <c r="H94" i="20"/>
  <c r="G94" i="20"/>
  <c r="E94" i="20"/>
  <c r="D94" i="20"/>
  <c r="H93" i="20"/>
  <c r="G93" i="20"/>
  <c r="E93" i="20"/>
  <c r="D93" i="20"/>
  <c r="H92" i="20"/>
  <c r="G92" i="20"/>
  <c r="E92" i="20"/>
  <c r="D92" i="20"/>
  <c r="H91" i="20"/>
  <c r="G91" i="20"/>
  <c r="E91" i="20"/>
  <c r="D91" i="20"/>
  <c r="H90" i="20"/>
  <c r="G90" i="20"/>
  <c r="E90" i="20"/>
  <c r="D90" i="20"/>
  <c r="H89" i="20"/>
  <c r="G89" i="20"/>
  <c r="E89" i="20"/>
  <c r="D89" i="20"/>
  <c r="H88" i="20"/>
  <c r="G88" i="20"/>
  <c r="E88" i="20"/>
  <c r="D88" i="20"/>
  <c r="H87" i="20"/>
  <c r="G87" i="20"/>
  <c r="E87" i="20"/>
  <c r="D87" i="20"/>
  <c r="H86" i="20"/>
  <c r="G86" i="20"/>
  <c r="E86" i="20"/>
  <c r="D86" i="20"/>
  <c r="H85" i="20"/>
  <c r="G85" i="20"/>
  <c r="E85" i="20"/>
  <c r="D85" i="20"/>
  <c r="H84" i="20"/>
  <c r="G84" i="20"/>
  <c r="E84" i="20"/>
  <c r="D84" i="20"/>
  <c r="H83" i="20"/>
  <c r="G83" i="20"/>
  <c r="E83" i="20"/>
  <c r="D83" i="20"/>
  <c r="H82" i="20"/>
  <c r="G82" i="20"/>
  <c r="E82" i="20"/>
  <c r="D82" i="20"/>
  <c r="H81" i="20"/>
  <c r="G81" i="20"/>
  <c r="E81" i="20"/>
  <c r="D81" i="20"/>
  <c r="H80" i="20"/>
  <c r="G80" i="20"/>
  <c r="E80" i="20"/>
  <c r="D80" i="20"/>
  <c r="H79" i="20"/>
  <c r="G79" i="20"/>
  <c r="E79" i="20"/>
  <c r="D79" i="20"/>
  <c r="H78" i="20"/>
  <c r="G78" i="20"/>
  <c r="E78" i="20"/>
  <c r="D78" i="20"/>
  <c r="H77" i="20"/>
  <c r="G77" i="20"/>
  <c r="E77" i="20"/>
  <c r="D77" i="20"/>
  <c r="H76" i="20"/>
  <c r="G76" i="20"/>
  <c r="E76" i="20"/>
  <c r="D76" i="20"/>
  <c r="H75" i="20"/>
  <c r="G75" i="20"/>
  <c r="E75" i="20"/>
  <c r="D75" i="20"/>
  <c r="H74" i="20"/>
  <c r="G74" i="20"/>
  <c r="E74" i="20"/>
  <c r="D74" i="20"/>
  <c r="H73" i="20"/>
  <c r="G73" i="20"/>
  <c r="E73" i="20"/>
  <c r="D73" i="20"/>
  <c r="H72" i="20"/>
  <c r="G72" i="20"/>
  <c r="E72" i="20"/>
  <c r="D72" i="20"/>
  <c r="H71" i="20"/>
  <c r="G71" i="20"/>
  <c r="E71" i="20"/>
  <c r="D71" i="20"/>
  <c r="H70" i="20"/>
  <c r="G70" i="20"/>
  <c r="E70" i="20"/>
  <c r="D70" i="20"/>
  <c r="H69" i="20"/>
  <c r="G69" i="20"/>
  <c r="E69" i="20"/>
  <c r="D69" i="20"/>
  <c r="H68" i="20"/>
  <c r="G68" i="20"/>
  <c r="E68" i="20"/>
  <c r="D68" i="20"/>
  <c r="H67" i="20"/>
  <c r="G67" i="20"/>
  <c r="E67" i="20"/>
  <c r="D67" i="20"/>
  <c r="H66" i="20"/>
  <c r="G66" i="20"/>
  <c r="E66" i="20"/>
  <c r="D66" i="20"/>
  <c r="H65" i="20"/>
  <c r="G65" i="20"/>
  <c r="E65" i="20"/>
  <c r="D65" i="20"/>
  <c r="H64" i="20"/>
  <c r="G64" i="20"/>
  <c r="E64" i="20"/>
  <c r="D64" i="20"/>
  <c r="H63" i="20"/>
  <c r="G63" i="20"/>
  <c r="E63" i="20"/>
  <c r="D63" i="20"/>
  <c r="H62" i="20"/>
  <c r="G62" i="20"/>
  <c r="E62" i="20"/>
  <c r="D62" i="20"/>
  <c r="H61" i="20"/>
  <c r="G61" i="20"/>
  <c r="E61" i="20"/>
  <c r="D61" i="20"/>
  <c r="H60" i="20"/>
  <c r="G60" i="20"/>
  <c r="E60" i="20"/>
  <c r="D60" i="20"/>
  <c r="H59" i="20"/>
  <c r="G59" i="20"/>
  <c r="E59" i="20"/>
  <c r="D59" i="20"/>
  <c r="H58" i="20"/>
  <c r="G58" i="20"/>
  <c r="E58" i="20"/>
  <c r="D58" i="20"/>
  <c r="H57" i="20"/>
  <c r="G57" i="20"/>
  <c r="E57" i="20"/>
  <c r="D57" i="20"/>
  <c r="H56" i="20"/>
  <c r="G56" i="20"/>
  <c r="E56" i="20"/>
  <c r="D56" i="20"/>
  <c r="H55" i="20"/>
  <c r="G55" i="20"/>
  <c r="E55" i="20"/>
  <c r="D55" i="20"/>
  <c r="H54" i="20"/>
  <c r="G54" i="20"/>
  <c r="E54" i="20"/>
  <c r="D54" i="20"/>
  <c r="H53" i="20"/>
  <c r="G53" i="20"/>
  <c r="E53" i="20"/>
  <c r="D53" i="20"/>
  <c r="H52" i="20"/>
  <c r="G52" i="20"/>
  <c r="E52" i="20"/>
  <c r="D52" i="20"/>
  <c r="H51" i="20"/>
  <c r="G51" i="20"/>
  <c r="E51" i="20"/>
  <c r="D51" i="20"/>
  <c r="H50" i="20"/>
  <c r="G50" i="20"/>
  <c r="E50" i="20"/>
  <c r="D50" i="20"/>
  <c r="H49" i="20"/>
  <c r="G49" i="20"/>
  <c r="E49" i="20"/>
  <c r="D49" i="20"/>
  <c r="H48" i="20"/>
  <c r="G48" i="20"/>
  <c r="E48" i="20"/>
  <c r="D48" i="20"/>
  <c r="H47" i="20"/>
  <c r="G47" i="20"/>
  <c r="E47" i="20"/>
  <c r="D47" i="20"/>
  <c r="H46" i="20"/>
  <c r="G46" i="20"/>
  <c r="E46" i="20"/>
  <c r="D46" i="20"/>
  <c r="H45" i="20"/>
  <c r="G45" i="20"/>
  <c r="E45" i="20"/>
  <c r="D45" i="20"/>
  <c r="H44" i="20"/>
  <c r="G44" i="20"/>
  <c r="E44" i="20"/>
  <c r="D44" i="20"/>
  <c r="H43" i="20"/>
  <c r="G43" i="20"/>
  <c r="E43" i="20"/>
  <c r="D43" i="20"/>
  <c r="H42" i="20"/>
  <c r="G42" i="20"/>
  <c r="E42" i="20"/>
  <c r="D42" i="20"/>
  <c r="H41" i="20"/>
  <c r="G41" i="20"/>
  <c r="E41" i="20"/>
  <c r="D41" i="20"/>
  <c r="H40" i="20"/>
  <c r="G40" i="20"/>
  <c r="E40" i="20"/>
  <c r="D40" i="20"/>
  <c r="H39" i="20"/>
  <c r="G39" i="20"/>
  <c r="E39" i="20"/>
  <c r="D39" i="20"/>
  <c r="H38" i="20"/>
  <c r="G38" i="20"/>
  <c r="E38" i="20"/>
  <c r="D38" i="20"/>
  <c r="H37" i="20"/>
  <c r="G37" i="20"/>
  <c r="E37" i="20"/>
  <c r="D37" i="20"/>
  <c r="H36" i="20"/>
  <c r="G36" i="20"/>
  <c r="E36" i="20"/>
  <c r="D36" i="20"/>
  <c r="H35" i="20"/>
  <c r="G35" i="20"/>
  <c r="E35" i="20"/>
  <c r="D35" i="20"/>
  <c r="H34" i="20"/>
  <c r="G34" i="20"/>
  <c r="E34" i="20"/>
  <c r="D34" i="20"/>
  <c r="H33" i="20"/>
  <c r="G33" i="20"/>
  <c r="E33" i="20"/>
  <c r="D33" i="20"/>
  <c r="H32" i="20"/>
  <c r="G32" i="20"/>
  <c r="E32" i="20"/>
  <c r="D32" i="20"/>
  <c r="H31" i="20"/>
  <c r="G31" i="20"/>
  <c r="E31" i="20"/>
  <c r="D31" i="20"/>
  <c r="H30" i="20"/>
  <c r="G30" i="20"/>
  <c r="E30" i="20"/>
  <c r="D30" i="20"/>
  <c r="H29" i="20"/>
  <c r="G29" i="20"/>
  <c r="E29" i="20"/>
  <c r="D29" i="20"/>
  <c r="H28" i="20"/>
  <c r="G28" i="20"/>
  <c r="E28" i="20"/>
  <c r="D28" i="20"/>
  <c r="H27" i="20"/>
  <c r="G27" i="20"/>
  <c r="E27" i="20"/>
  <c r="D27" i="20"/>
  <c r="H26" i="20"/>
  <c r="G26" i="20"/>
  <c r="E26" i="20"/>
  <c r="D26" i="20"/>
  <c r="H25" i="20"/>
  <c r="G25" i="20"/>
  <c r="E25" i="20"/>
  <c r="D25" i="20"/>
  <c r="H24" i="20"/>
  <c r="G24" i="20"/>
  <c r="E24" i="20"/>
  <c r="D24" i="20"/>
  <c r="H23" i="20"/>
  <c r="G23" i="20"/>
  <c r="E23" i="20"/>
  <c r="D23" i="20"/>
  <c r="H22" i="20"/>
  <c r="G22" i="20"/>
  <c r="E22" i="20"/>
  <c r="D22" i="20"/>
  <c r="H21" i="20"/>
  <c r="G21" i="20"/>
  <c r="E21" i="20"/>
  <c r="D21" i="20"/>
  <c r="H20" i="20"/>
  <c r="G20" i="20"/>
  <c r="E20" i="20"/>
  <c r="D20" i="20"/>
  <c r="H19" i="20"/>
  <c r="G19" i="20"/>
  <c r="E19" i="20"/>
  <c r="D19" i="20"/>
  <c r="H18" i="20"/>
  <c r="G18" i="20"/>
  <c r="E18" i="20"/>
  <c r="D18" i="20"/>
  <c r="H17" i="20"/>
  <c r="G17" i="20"/>
  <c r="E17" i="20"/>
  <c r="D17" i="20"/>
  <c r="H16" i="20"/>
  <c r="G16" i="20"/>
  <c r="E16" i="20"/>
  <c r="D16" i="20"/>
  <c r="H15" i="20"/>
  <c r="G15" i="20"/>
  <c r="E15" i="20"/>
  <c r="D15" i="20"/>
  <c r="H14" i="20"/>
  <c r="G14" i="20"/>
  <c r="E14" i="20"/>
  <c r="D14" i="20"/>
  <c r="H13" i="20"/>
  <c r="G13" i="20"/>
  <c r="E13" i="20"/>
  <c r="D13" i="20"/>
  <c r="H12" i="20"/>
  <c r="G12" i="20"/>
  <c r="E12" i="20"/>
  <c r="D12" i="20"/>
  <c r="H11" i="20"/>
  <c r="G11" i="20"/>
  <c r="E11" i="20"/>
  <c r="D11" i="20"/>
  <c r="H10" i="20"/>
  <c r="G10" i="20"/>
  <c r="E10" i="20"/>
  <c r="D10" i="20"/>
  <c r="H9" i="20"/>
  <c r="G9" i="20"/>
  <c r="E9" i="20"/>
  <c r="D9" i="20"/>
  <c r="H8" i="20"/>
  <c r="G8" i="20"/>
  <c r="E8" i="20"/>
  <c r="D8" i="20"/>
  <c r="H7" i="20"/>
  <c r="G7" i="20"/>
  <c r="E7" i="20"/>
  <c r="D7" i="20"/>
  <c r="H6" i="20"/>
  <c r="G6" i="20"/>
  <c r="E6" i="20"/>
  <c r="D6" i="20"/>
  <c r="H5" i="20"/>
  <c r="G5" i="20"/>
  <c r="E5" i="20"/>
  <c r="D5" i="20"/>
  <c r="H4" i="20"/>
  <c r="G4" i="20"/>
  <c r="E4" i="20"/>
  <c r="D4" i="20"/>
  <c r="H3" i="20"/>
  <c r="G3" i="20"/>
  <c r="E3" i="20"/>
  <c r="D3" i="20"/>
  <c r="H2" i="20"/>
  <c r="G2" i="20"/>
  <c r="E2" i="20"/>
  <c r="D2" i="20"/>
  <c r="G321" i="2"/>
  <c r="G322" i="2"/>
  <c r="E321" i="2"/>
  <c r="E322" i="2"/>
  <c r="F321" i="2"/>
  <c r="F322" i="2"/>
  <c r="H321" i="2"/>
  <c r="H322" i="2"/>
  <c r="I321" i="2"/>
  <c r="I322" i="2"/>
  <c r="G315" i="2"/>
  <c r="G316" i="2"/>
  <c r="G317" i="2"/>
  <c r="G318" i="2"/>
  <c r="G319" i="2"/>
  <c r="G320" i="2"/>
  <c r="E315" i="2"/>
  <c r="E316" i="2"/>
  <c r="E317" i="2"/>
  <c r="E318" i="2"/>
  <c r="E319" i="2"/>
  <c r="E320" i="2"/>
  <c r="F315" i="2"/>
  <c r="F316" i="2"/>
  <c r="F317" i="2"/>
  <c r="F318" i="2"/>
  <c r="F319" i="2"/>
  <c r="F320" i="2"/>
  <c r="H315" i="2"/>
  <c r="H316" i="2"/>
  <c r="H317" i="2"/>
  <c r="H318" i="2"/>
  <c r="H319" i="2"/>
  <c r="H320" i="2"/>
  <c r="I315" i="2"/>
  <c r="I316" i="2"/>
  <c r="I317" i="2"/>
  <c r="I318" i="2"/>
  <c r="I319" i="2"/>
  <c r="I320" i="2"/>
  <c r="G310" i="2"/>
  <c r="G311" i="2"/>
  <c r="G312" i="2"/>
  <c r="G313" i="2"/>
  <c r="G314" i="2"/>
  <c r="E310" i="2"/>
  <c r="E311" i="2"/>
  <c r="E312" i="2"/>
  <c r="E313" i="2"/>
  <c r="E314" i="2"/>
  <c r="F310" i="2"/>
  <c r="F311" i="2"/>
  <c r="F312" i="2"/>
  <c r="F313" i="2"/>
  <c r="F314" i="2"/>
  <c r="H310" i="2"/>
  <c r="H311" i="2"/>
  <c r="H312" i="2"/>
  <c r="H313" i="2"/>
  <c r="H314" i="2"/>
  <c r="I310" i="2"/>
  <c r="I311" i="2"/>
  <c r="I312" i="2"/>
  <c r="I313" i="2"/>
  <c r="I314" i="2"/>
  <c r="G305" i="2"/>
  <c r="G306" i="2"/>
  <c r="G307" i="2"/>
  <c r="G308" i="2"/>
  <c r="G309" i="2"/>
  <c r="E305" i="2"/>
  <c r="E306" i="2"/>
  <c r="E307" i="2"/>
  <c r="E308" i="2"/>
  <c r="E309" i="2"/>
  <c r="F305" i="2"/>
  <c r="F306" i="2"/>
  <c r="F307" i="2"/>
  <c r="F308" i="2"/>
  <c r="F309" i="2"/>
  <c r="H305" i="2"/>
  <c r="H306" i="2"/>
  <c r="H307" i="2"/>
  <c r="H308" i="2"/>
  <c r="H309" i="2"/>
  <c r="I305" i="2"/>
  <c r="I306" i="2"/>
  <c r="I307" i="2"/>
  <c r="I308" i="2"/>
  <c r="I309" i="2"/>
  <c r="G304" i="2"/>
  <c r="E304" i="2"/>
  <c r="F304" i="2"/>
  <c r="H304" i="2"/>
  <c r="I304" i="2"/>
  <c r="G279" i="2"/>
  <c r="E279" i="2"/>
  <c r="F279" i="2"/>
  <c r="H279" i="2"/>
  <c r="I279" i="2"/>
  <c r="G298" i="2"/>
  <c r="G299" i="2"/>
  <c r="G300" i="2"/>
  <c r="G301" i="2"/>
  <c r="G302" i="2"/>
  <c r="G303" i="2"/>
  <c r="E298" i="2"/>
  <c r="E299" i="2"/>
  <c r="E300" i="2"/>
  <c r="E301" i="2"/>
  <c r="E302" i="2"/>
  <c r="E303" i="2"/>
  <c r="F298" i="2"/>
  <c r="F299" i="2"/>
  <c r="F300" i="2"/>
  <c r="F301" i="2"/>
  <c r="F302" i="2"/>
  <c r="F303" i="2"/>
  <c r="H298" i="2"/>
  <c r="H299" i="2"/>
  <c r="H300" i="2"/>
  <c r="H301" i="2"/>
  <c r="H302" i="2"/>
  <c r="H303" i="2"/>
  <c r="I298" i="2"/>
  <c r="I299" i="2"/>
  <c r="I300" i="2"/>
  <c r="I301" i="2"/>
  <c r="I302" i="2"/>
  <c r="I303" i="2"/>
  <c r="G291" i="2"/>
  <c r="G292" i="2"/>
  <c r="G293" i="2"/>
  <c r="G294" i="2"/>
  <c r="G295" i="2"/>
  <c r="G296" i="2"/>
  <c r="G297" i="2"/>
  <c r="E291" i="2"/>
  <c r="E292" i="2"/>
  <c r="E293" i="2"/>
  <c r="E294" i="2"/>
  <c r="E295" i="2"/>
  <c r="E296" i="2"/>
  <c r="E297" i="2"/>
  <c r="F291" i="2"/>
  <c r="F292" i="2"/>
  <c r="F293" i="2"/>
  <c r="F294" i="2"/>
  <c r="F295" i="2"/>
  <c r="F296" i="2"/>
  <c r="F297" i="2"/>
  <c r="H291" i="2"/>
  <c r="H292" i="2"/>
  <c r="H293" i="2"/>
  <c r="H294" i="2"/>
  <c r="H295" i="2"/>
  <c r="H296" i="2"/>
  <c r="H297" i="2"/>
  <c r="I291" i="2"/>
  <c r="I292" i="2"/>
  <c r="I293" i="2"/>
  <c r="I294" i="2"/>
  <c r="I295" i="2"/>
  <c r="I296" i="2"/>
  <c r="I297" i="2"/>
  <c r="G286" i="2"/>
  <c r="G287" i="2"/>
  <c r="G288" i="2"/>
  <c r="G289" i="2"/>
  <c r="G290" i="2"/>
  <c r="E286" i="2"/>
  <c r="E287" i="2"/>
  <c r="E288" i="2"/>
  <c r="E289" i="2"/>
  <c r="E290" i="2"/>
  <c r="F286" i="2"/>
  <c r="F287" i="2"/>
  <c r="F288" i="2"/>
  <c r="F289" i="2"/>
  <c r="F290" i="2"/>
  <c r="H286" i="2"/>
  <c r="H287" i="2"/>
  <c r="H288" i="2"/>
  <c r="H289" i="2"/>
  <c r="H290" i="2"/>
  <c r="I286" i="2"/>
  <c r="I287" i="2"/>
  <c r="I288" i="2"/>
  <c r="I289" i="2"/>
  <c r="I290" i="2"/>
  <c r="G281" i="2"/>
  <c r="G282" i="2"/>
  <c r="G283" i="2"/>
  <c r="G284" i="2"/>
  <c r="G285" i="2"/>
  <c r="E281" i="2"/>
  <c r="E282" i="2"/>
  <c r="E283" i="2"/>
  <c r="E284" i="2"/>
  <c r="E285" i="2"/>
  <c r="F281" i="2"/>
  <c r="F282" i="2"/>
  <c r="F283" i="2"/>
  <c r="F284" i="2"/>
  <c r="F285" i="2"/>
  <c r="H281" i="2"/>
  <c r="H282" i="2"/>
  <c r="H283" i="2"/>
  <c r="H284" i="2"/>
  <c r="H285" i="2"/>
  <c r="I281" i="2"/>
  <c r="I282" i="2"/>
  <c r="I283" i="2"/>
  <c r="I284" i="2"/>
  <c r="I285" i="2"/>
  <c r="G276" i="2"/>
  <c r="G277" i="2"/>
  <c r="G278" i="2"/>
  <c r="G280" i="2"/>
  <c r="G274" i="2"/>
  <c r="G275" i="2"/>
  <c r="E276" i="2"/>
  <c r="E277" i="2"/>
  <c r="E278" i="2"/>
  <c r="E280" i="2"/>
  <c r="F276" i="2"/>
  <c r="F277" i="2"/>
  <c r="F278" i="2"/>
  <c r="F280" i="2"/>
  <c r="H276" i="2"/>
  <c r="H277" i="2"/>
  <c r="H278" i="2"/>
  <c r="H280" i="2"/>
  <c r="I276" i="2"/>
  <c r="I277" i="2"/>
  <c r="I278" i="2"/>
  <c r="I280" i="2"/>
  <c r="E274" i="2"/>
  <c r="E275" i="2"/>
  <c r="F274" i="2"/>
  <c r="F275" i="2"/>
  <c r="H274" i="2"/>
  <c r="H275" i="2"/>
  <c r="I274" i="2"/>
  <c r="I275" i="2"/>
  <c r="G268" i="2"/>
  <c r="G269" i="2"/>
  <c r="G270" i="2"/>
  <c r="G271" i="2"/>
  <c r="G272" i="2"/>
  <c r="G273" i="2"/>
  <c r="I271" i="2"/>
  <c r="I272" i="2"/>
  <c r="I273" i="2"/>
  <c r="H270" i="2"/>
  <c r="H271" i="2"/>
  <c r="H272" i="2"/>
  <c r="H273" i="2"/>
  <c r="E268" i="2"/>
  <c r="E269" i="2"/>
  <c r="E270" i="2"/>
  <c r="E271" i="2"/>
  <c r="E272" i="2"/>
  <c r="E273" i="2"/>
  <c r="F268" i="2"/>
  <c r="F269" i="2"/>
  <c r="F270" i="2"/>
  <c r="F271" i="2"/>
  <c r="F272" i="2"/>
  <c r="F273" i="2"/>
  <c r="H268" i="2"/>
  <c r="H269" i="2"/>
  <c r="I268" i="2"/>
  <c r="I269" i="2"/>
  <c r="I270" i="2"/>
  <c r="G265" i="2"/>
  <c r="G266" i="2"/>
  <c r="G267" i="2"/>
  <c r="E265" i="2"/>
  <c r="E266" i="2"/>
  <c r="E267" i="2"/>
  <c r="F265" i="2"/>
  <c r="F266" i="2"/>
  <c r="F267" i="2"/>
  <c r="H265" i="2"/>
  <c r="H266" i="2"/>
  <c r="H267" i="2"/>
  <c r="I265" i="2"/>
  <c r="I266" i="2"/>
  <c r="I267" i="2"/>
  <c r="E260" i="2"/>
  <c r="F260" i="2"/>
  <c r="G260" i="2"/>
  <c r="E261" i="2"/>
  <c r="F261" i="2"/>
  <c r="G261" i="2"/>
  <c r="E262" i="2"/>
  <c r="F262" i="2"/>
  <c r="G262" i="2"/>
  <c r="E263" i="2"/>
  <c r="F263" i="2"/>
  <c r="G263" i="2"/>
  <c r="E264" i="2"/>
  <c r="F264" i="2"/>
  <c r="G264" i="2"/>
  <c r="H260" i="2"/>
  <c r="H261" i="2"/>
  <c r="H262" i="2"/>
  <c r="H263" i="2"/>
  <c r="H264" i="2"/>
  <c r="I260" i="2"/>
  <c r="I261" i="2"/>
  <c r="I262" i="2"/>
  <c r="I263" i="2"/>
  <c r="I264" i="2"/>
  <c r="I245" i="2"/>
  <c r="G255" i="2"/>
  <c r="G256" i="2"/>
  <c r="G257" i="2"/>
  <c r="G258" i="2"/>
  <c r="G259" i="2"/>
  <c r="E255" i="2"/>
  <c r="E256" i="2"/>
  <c r="E257" i="2"/>
  <c r="E258" i="2"/>
  <c r="E259" i="2"/>
  <c r="F255" i="2"/>
  <c r="F256" i="2"/>
  <c r="F257" i="2"/>
  <c r="F258" i="2"/>
  <c r="F259" i="2"/>
  <c r="H255" i="2"/>
  <c r="H256" i="2"/>
  <c r="H257" i="2"/>
  <c r="H258" i="2"/>
  <c r="H259" i="2"/>
  <c r="I255" i="2"/>
  <c r="I256" i="2"/>
  <c r="I257" i="2"/>
  <c r="I258" i="2"/>
  <c r="I259" i="2"/>
  <c r="G248" i="2"/>
  <c r="G249" i="2"/>
  <c r="G250" i="2"/>
  <c r="G251" i="2"/>
  <c r="G252" i="2"/>
  <c r="G253" i="2"/>
  <c r="G254" i="2"/>
  <c r="E248" i="2"/>
  <c r="E249" i="2"/>
  <c r="E250" i="2"/>
  <c r="E251" i="2"/>
  <c r="E252" i="2"/>
  <c r="E253" i="2"/>
  <c r="E254" i="2"/>
  <c r="F248" i="2"/>
  <c r="F249" i="2"/>
  <c r="F250" i="2"/>
  <c r="F251" i="2"/>
  <c r="F252" i="2"/>
  <c r="F253" i="2"/>
  <c r="F254" i="2"/>
  <c r="H248" i="2"/>
  <c r="H249" i="2"/>
  <c r="H250" i="2"/>
  <c r="H251" i="2"/>
  <c r="H252" i="2"/>
  <c r="H253" i="2"/>
  <c r="H254" i="2"/>
  <c r="I248" i="2"/>
  <c r="I249" i="2"/>
  <c r="I250" i="2"/>
  <c r="I251" i="2"/>
  <c r="I252" i="2"/>
  <c r="I253" i="2"/>
  <c r="I254" i="2"/>
  <c r="I244" i="2"/>
  <c r="G247" i="2" l="1"/>
  <c r="E247" i="2"/>
  <c r="F247" i="2"/>
  <c r="H247" i="2"/>
  <c r="I247" i="2"/>
  <c r="G241" i="2"/>
  <c r="G242" i="2"/>
  <c r="G243" i="2"/>
  <c r="G244" i="2"/>
  <c r="G245" i="2"/>
  <c r="G246" i="2"/>
  <c r="E241" i="2"/>
  <c r="E242" i="2"/>
  <c r="E243" i="2"/>
  <c r="E244" i="2"/>
  <c r="E245" i="2"/>
  <c r="E246" i="2"/>
  <c r="F241" i="2"/>
  <c r="F242" i="2"/>
  <c r="F243" i="2"/>
  <c r="F244" i="2"/>
  <c r="F245" i="2"/>
  <c r="F246" i="2"/>
  <c r="H241" i="2"/>
  <c r="H242" i="2"/>
  <c r="H243" i="2"/>
  <c r="H244" i="2"/>
  <c r="H245" i="2"/>
  <c r="H246" i="2"/>
  <c r="I241" i="2"/>
  <c r="I242" i="2"/>
  <c r="I243" i="2"/>
  <c r="I246" i="2"/>
  <c r="G237" i="2"/>
  <c r="G238" i="2"/>
  <c r="G239" i="2"/>
  <c r="G240" i="2"/>
  <c r="E237" i="2"/>
  <c r="E238" i="2"/>
  <c r="E239" i="2"/>
  <c r="E240" i="2"/>
  <c r="F237" i="2"/>
  <c r="F238" i="2"/>
  <c r="F239" i="2"/>
  <c r="F240" i="2"/>
  <c r="H237" i="2"/>
  <c r="H238" i="2"/>
  <c r="H239" i="2"/>
  <c r="H240" i="2"/>
  <c r="I237" i="2"/>
  <c r="I238" i="2"/>
  <c r="I239" i="2"/>
  <c r="I240" i="2"/>
  <c r="G236" i="2"/>
  <c r="G235" i="2"/>
  <c r="G234" i="2"/>
  <c r="G233" i="2"/>
  <c r="E233" i="2"/>
  <c r="E234" i="2"/>
  <c r="E235" i="2"/>
  <c r="E236" i="2"/>
  <c r="F233" i="2"/>
  <c r="F234" i="2"/>
  <c r="F235" i="2"/>
  <c r="F236" i="2"/>
  <c r="H233" i="2"/>
  <c r="H234" i="2"/>
  <c r="H235" i="2"/>
  <c r="H236" i="2"/>
  <c r="I233" i="2"/>
  <c r="I234" i="2"/>
  <c r="I235" i="2"/>
  <c r="I236" i="2"/>
  <c r="G230" i="2"/>
  <c r="G231" i="2"/>
  <c r="G232" i="2"/>
  <c r="E230" i="2"/>
  <c r="E231" i="2"/>
  <c r="E232" i="2"/>
  <c r="F230" i="2"/>
  <c r="F231" i="2"/>
  <c r="F232" i="2"/>
  <c r="H230" i="2"/>
  <c r="H231" i="2"/>
  <c r="H232" i="2"/>
  <c r="I230" i="2"/>
  <c r="I231" i="2"/>
  <c r="I232" i="2"/>
  <c r="E2" i="2"/>
  <c r="E3" i="2"/>
  <c r="E4" i="2"/>
  <c r="E5" i="2"/>
  <c r="E6" i="2"/>
  <c r="E7" i="2"/>
  <c r="E8" i="2"/>
  <c r="E9" i="2"/>
  <c r="E10" i="2"/>
  <c r="E11" i="2"/>
  <c r="E12" i="2"/>
  <c r="E13" i="2"/>
  <c r="E14" i="2"/>
  <c r="E15" i="2"/>
  <c r="E16" i="2"/>
  <c r="E17" i="2"/>
  <c r="E18" i="2"/>
  <c r="E19" i="2"/>
  <c r="E20" i="2"/>
  <c r="E21" i="2"/>
  <c r="E23" i="2"/>
  <c r="E24" i="2"/>
  <c r="E25" i="2"/>
  <c r="E26" i="2"/>
  <c r="E27" i="2"/>
  <c r="E22"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6" i="2"/>
  <c r="E75" i="2"/>
  <c r="E77" i="2"/>
  <c r="E78" i="2"/>
  <c r="E79" i="2"/>
  <c r="E80" i="2"/>
  <c r="E81" i="2"/>
  <c r="E82" i="2"/>
  <c r="E83" i="2"/>
  <c r="E85" i="2"/>
  <c r="E86" i="2"/>
  <c r="E84"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4" i="2"/>
  <c r="E145" i="2"/>
  <c r="E143" i="2"/>
  <c r="E146" i="2"/>
  <c r="E147" i="2"/>
  <c r="E142" i="2"/>
  <c r="E148" i="2"/>
  <c r="E149" i="2"/>
  <c r="E150" i="2"/>
  <c r="E141" i="2"/>
  <c r="E151" i="2"/>
  <c r="E152" i="2"/>
  <c r="E153" i="2"/>
  <c r="E155" i="2"/>
  <c r="E156" i="2"/>
  <c r="E157" i="2"/>
  <c r="E158" i="2"/>
  <c r="E154" i="2"/>
  <c r="E159" i="2"/>
  <c r="E160" i="2"/>
  <c r="E161" i="2"/>
  <c r="E163" i="2"/>
  <c r="E162" i="2"/>
  <c r="E164" i="2"/>
  <c r="E165" i="2"/>
  <c r="E166" i="2"/>
  <c r="E167" i="2"/>
  <c r="E168" i="2"/>
  <c r="E169" i="2"/>
  <c r="E171" i="2"/>
  <c r="E172" i="2"/>
  <c r="E170"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9" i="2"/>
  <c r="E210" i="2"/>
  <c r="E208" i="2"/>
  <c r="E211" i="2"/>
  <c r="E212" i="2"/>
  <c r="E213" i="2"/>
  <c r="E215" i="2"/>
  <c r="E214" i="2"/>
  <c r="E217" i="2"/>
  <c r="E216" i="2"/>
  <c r="E218" i="2"/>
  <c r="E219" i="2"/>
  <c r="E220" i="2"/>
  <c r="E222" i="2"/>
  <c r="E221" i="2"/>
  <c r="E224" i="2"/>
  <c r="E225" i="2"/>
  <c r="E226" i="2"/>
  <c r="E223" i="2"/>
  <c r="E227" i="2"/>
  <c r="E228" i="2"/>
  <c r="E229" i="2"/>
  <c r="G214" i="2"/>
  <c r="F214" i="2"/>
  <c r="H214" i="2"/>
  <c r="I214" i="2"/>
  <c r="G213" i="2"/>
  <c r="F213" i="2"/>
  <c r="H213" i="2"/>
  <c r="I213" i="2"/>
  <c r="G215" i="2"/>
  <c r="F215" i="2"/>
  <c r="H215" i="2"/>
  <c r="I215" i="2"/>
  <c r="G217" i="2"/>
  <c r="G224" i="2"/>
  <c r="F217" i="2"/>
  <c r="H217" i="2"/>
  <c r="I217" i="2"/>
  <c r="G221" i="2"/>
  <c r="G223" i="2"/>
  <c r="G225" i="2"/>
  <c r="G226" i="2"/>
  <c r="G227" i="2"/>
  <c r="G228" i="2"/>
  <c r="G229" i="2"/>
  <c r="F221" i="2"/>
  <c r="F223" i="2"/>
  <c r="F224" i="2"/>
  <c r="F225" i="2"/>
  <c r="F226" i="2"/>
  <c r="F227" i="2"/>
  <c r="F228" i="2"/>
  <c r="F229" i="2"/>
  <c r="H221" i="2"/>
  <c r="H223" i="2"/>
  <c r="H224" i="2"/>
  <c r="H225" i="2"/>
  <c r="H226" i="2"/>
  <c r="H227" i="2"/>
  <c r="H228" i="2"/>
  <c r="H229" i="2"/>
  <c r="I221" i="2"/>
  <c r="I223" i="2"/>
  <c r="I224" i="2"/>
  <c r="I225" i="2"/>
  <c r="I226" i="2"/>
  <c r="I227" i="2"/>
  <c r="I228" i="2"/>
  <c r="I229" i="2"/>
  <c r="F3" i="2" l="1"/>
  <c r="F4" i="2"/>
  <c r="F5" i="2"/>
  <c r="F6" i="2"/>
  <c r="F7" i="2"/>
  <c r="F8" i="2"/>
  <c r="F9" i="2"/>
  <c r="F10" i="2"/>
  <c r="F11" i="2"/>
  <c r="F12" i="2"/>
  <c r="F13" i="2"/>
  <c r="F14" i="2"/>
  <c r="F15" i="2"/>
  <c r="F16" i="2"/>
  <c r="F17" i="2"/>
  <c r="F18" i="2"/>
  <c r="F19" i="2"/>
  <c r="F20" i="2"/>
  <c r="F21" i="2"/>
  <c r="F23" i="2"/>
  <c r="F24" i="2"/>
  <c r="F25" i="2"/>
  <c r="F26" i="2"/>
  <c r="F27" i="2"/>
  <c r="F22"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5" i="2"/>
  <c r="F156" i="2"/>
  <c r="F157" i="2"/>
  <c r="F158" i="2"/>
  <c r="F154" i="2"/>
  <c r="F159" i="2"/>
  <c r="F160" i="2"/>
  <c r="F161" i="2"/>
  <c r="F162" i="2"/>
  <c r="F163" i="2"/>
  <c r="F164" i="2"/>
  <c r="F165" i="2"/>
  <c r="F166" i="2"/>
  <c r="F167" i="2"/>
  <c r="F168" i="2"/>
  <c r="F169" i="2"/>
  <c r="F171" i="2"/>
  <c r="F170"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6" i="2"/>
  <c r="F218" i="2"/>
  <c r="F219" i="2"/>
  <c r="F220" i="2"/>
  <c r="F222" i="2"/>
  <c r="F2"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5" i="2"/>
  <c r="G156" i="2"/>
  <c r="G157" i="2"/>
  <c r="G158" i="2"/>
  <c r="G154" i="2"/>
  <c r="G159" i="2"/>
  <c r="G160" i="2"/>
  <c r="G161" i="2"/>
  <c r="G162" i="2"/>
  <c r="G163" i="2"/>
  <c r="G164" i="2"/>
  <c r="G165" i="2"/>
  <c r="G166" i="2"/>
  <c r="G167" i="2"/>
  <c r="G168" i="2"/>
  <c r="G169" i="2"/>
  <c r="G171" i="2"/>
  <c r="G170"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6" i="2"/>
  <c r="G218" i="2"/>
  <c r="G219" i="2"/>
  <c r="G220" i="2"/>
  <c r="G222" i="2"/>
  <c r="G124" i="2"/>
  <c r="H3" i="2"/>
  <c r="H4" i="2"/>
  <c r="H5" i="2"/>
  <c r="H6" i="2"/>
  <c r="H7" i="2"/>
  <c r="H8" i="2"/>
  <c r="H9" i="2"/>
  <c r="H10" i="2"/>
  <c r="H11" i="2"/>
  <c r="H12" i="2"/>
  <c r="H13" i="2"/>
  <c r="H14" i="2"/>
  <c r="H15" i="2"/>
  <c r="H16" i="2"/>
  <c r="H17" i="2"/>
  <c r="H18" i="2"/>
  <c r="H19" i="2"/>
  <c r="H20" i="2"/>
  <c r="H21" i="2"/>
  <c r="H23" i="2"/>
  <c r="H24" i="2"/>
  <c r="H25" i="2"/>
  <c r="H26" i="2"/>
  <c r="H27" i="2"/>
  <c r="H22"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5" i="2"/>
  <c r="H156" i="2"/>
  <c r="H157" i="2"/>
  <c r="H158" i="2"/>
  <c r="H154" i="2"/>
  <c r="H159" i="2"/>
  <c r="H160" i="2"/>
  <c r="H161" i="2"/>
  <c r="H162" i="2"/>
  <c r="H163" i="2"/>
  <c r="H164" i="2"/>
  <c r="H165" i="2"/>
  <c r="H166" i="2"/>
  <c r="H167" i="2"/>
  <c r="H168" i="2"/>
  <c r="H169" i="2"/>
  <c r="H171" i="2"/>
  <c r="H170"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6" i="2"/>
  <c r="H218" i="2"/>
  <c r="H219" i="2"/>
  <c r="H220" i="2"/>
  <c r="H222" i="2"/>
  <c r="H2" i="2"/>
  <c r="I3" i="2"/>
  <c r="I4" i="2"/>
  <c r="I5" i="2"/>
  <c r="I6" i="2"/>
  <c r="I7" i="2"/>
  <c r="I8" i="2"/>
  <c r="I9" i="2"/>
  <c r="I10" i="2"/>
  <c r="I11" i="2"/>
  <c r="I12" i="2"/>
  <c r="I13" i="2"/>
  <c r="I14" i="2"/>
  <c r="I15" i="2"/>
  <c r="I16" i="2"/>
  <c r="I17" i="2"/>
  <c r="I18" i="2"/>
  <c r="I19" i="2"/>
  <c r="I20" i="2"/>
  <c r="I21" i="2"/>
  <c r="I23" i="2"/>
  <c r="I24" i="2"/>
  <c r="I25" i="2"/>
  <c r="I26" i="2"/>
  <c r="I27" i="2"/>
  <c r="I22"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5" i="2"/>
  <c r="I156" i="2"/>
  <c r="I157" i="2"/>
  <c r="I158" i="2"/>
  <c r="I154" i="2"/>
  <c r="I159" i="2"/>
  <c r="I160" i="2"/>
  <c r="I161" i="2"/>
  <c r="I162" i="2"/>
  <c r="I163" i="2"/>
  <c r="I164" i="2"/>
  <c r="I165" i="2"/>
  <c r="I166" i="2"/>
  <c r="I167" i="2"/>
  <c r="I168" i="2"/>
  <c r="I169" i="2"/>
  <c r="I171" i="2"/>
  <c r="I170"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6" i="2"/>
  <c r="I218" i="2"/>
  <c r="I219" i="2"/>
  <c r="I220" i="2"/>
  <c r="I222" i="2"/>
  <c r="I2" i="2"/>
</calcChain>
</file>

<file path=xl/sharedStrings.xml><?xml version="1.0" encoding="utf-8"?>
<sst xmlns="http://schemas.openxmlformats.org/spreadsheetml/2006/main" count="16442" uniqueCount="1243">
  <si>
    <t>ردیف</t>
  </si>
  <si>
    <t>تاریخ تحویل قطعه</t>
  </si>
  <si>
    <t>تحویل گیرنده</t>
  </si>
  <si>
    <t>اقدام تعریف شده</t>
  </si>
  <si>
    <t>تستر</t>
  </si>
  <si>
    <t>تست خودرویی</t>
  </si>
  <si>
    <t>تست پیشنهادی</t>
  </si>
  <si>
    <t>سريال اخطار</t>
  </si>
  <si>
    <t>شماره فني</t>
  </si>
  <si>
    <t>شرح قطعه</t>
  </si>
  <si>
    <t>تاريخ تاييد</t>
  </si>
  <si>
    <t>تعداد قطعات
 معيوب</t>
  </si>
  <si>
    <t>ریشه ایراد</t>
  </si>
  <si>
    <t>NBCM TARA</t>
  </si>
  <si>
    <t>NBCM DENA</t>
  </si>
  <si>
    <t>IK01262380</t>
  </si>
  <si>
    <t>IK01403980</t>
  </si>
  <si>
    <t>NBCM 207</t>
  </si>
  <si>
    <t>NBCM SOREN</t>
  </si>
  <si>
    <t>IK01596980</t>
  </si>
  <si>
    <t>IK01348180</t>
  </si>
  <si>
    <t>IK00929380</t>
  </si>
  <si>
    <t>NOK</t>
  </si>
  <si>
    <t>OK</t>
  </si>
  <si>
    <t>6M</t>
  </si>
  <si>
    <t>کد اپراتور</t>
  </si>
  <si>
    <t>اپراتور</t>
  </si>
  <si>
    <t>تجهیزات</t>
  </si>
  <si>
    <t>مواد اولیه</t>
  </si>
  <si>
    <t>روش</t>
  </si>
  <si>
    <t>IK01033680</t>
  </si>
  <si>
    <t>IK01917980</t>
  </si>
  <si>
    <t>IK01033880</t>
  </si>
  <si>
    <t>1403/02/08</t>
  </si>
  <si>
    <t>1403/01/16</t>
  </si>
  <si>
    <t>ايراد عملكردي  nbcm   (ليبل تكراري قطعه در تاريخ 1402/12/22 مونتاژ شده) رويت شد</t>
  </si>
  <si>
    <t>1403/01/19</t>
  </si>
  <si>
    <t>ايراد عدم جذب پشت امپر كه طبق بررسي هاي انجام گرفته ايراد فقط در سورس سازه پويش رويت مي گردد به طوريكه در پشت امپر كروز ايراد عدم جذب مشاهده نمي شود كه ايراد به رويت نماينده ساپكو اقاي كثيري رسيد(شكيب)</t>
  </si>
  <si>
    <t>عطف به اسلايد2 فايل پيوست نتيجه گزارش دريافت شده از تستهاي دوره اي قطعه در اتيراك،عملكرد قطعه در بررسي پس از تست شوك حرارتي صحيح نميباشد.</t>
  </si>
  <si>
    <t>1403/01/21</t>
  </si>
  <si>
    <t>ايراد عملكرد نادرست NBCM( مغايرت كانكتورنصب اشتباه)يك نمونه رويت شد</t>
  </si>
  <si>
    <t>طي بررسي بعمل آمده ايراد عملكرد آمپر صفحه نمايشگر يك نمونه رويت گرديد</t>
  </si>
  <si>
    <t>1403/01/23</t>
  </si>
  <si>
    <t>ايرادعدم عملكرد NBCM( عدم عملكرد كامل)يك نمونه رويت شد</t>
  </si>
  <si>
    <t>ايرادليبل تكراري آمپرخودرو207يك نمونه رويت شد</t>
  </si>
  <si>
    <t>1403/01/27</t>
  </si>
  <si>
    <t>ايرادعدم عملكرد NBCM( عدم عملكرد كامل اتصالي ادوات برقي )يك نمونه رويت شد</t>
  </si>
  <si>
    <t>1403/02/01</t>
  </si>
  <si>
    <t>ايرادعدم عملكردآمپرخودرو دنا(صفحه نمايشگر)يك نمونه رويت شد</t>
  </si>
  <si>
    <t>ايراد عملكردي NBCM( عدم عملكرد سايد لمپ )يك نمونه رويت شد</t>
  </si>
  <si>
    <t>ايرادعدم عملكردآمپرخودرو207(عدم نمايش دماسنج)يك نمونه رويت شد</t>
  </si>
  <si>
    <t>ايراد مغايرت ليبل رديابي NBCM( ناخوانا بودن كه مربوط به توليد204 روز  ) رويت شد</t>
  </si>
  <si>
    <t>ايرادظاهري آمپرخودرودنا(دفرمگي بزل دور موتور)يك نمونه رويت شد</t>
  </si>
  <si>
    <t>1403/02/02</t>
  </si>
  <si>
    <t>ايراد مغايرت ليبل رديابي NBCM(عدم عملكرد كامل روشن نشدن خودرو ) رويت شد</t>
  </si>
  <si>
    <t>1403/02/04</t>
  </si>
  <si>
    <t>ايرادعملكردي آمپرخودرو207(عدم عملكردنگيني كروز كنترل)يك نمونه رويت شد</t>
  </si>
  <si>
    <t>ايرادعملكردي آمپرخودرو تارا(عدم عملكردصفحه نمايشگر)يك نمونه رويت شد</t>
  </si>
  <si>
    <t>1403/02/05</t>
  </si>
  <si>
    <t>عدم اعلام  اخطار  هشدار كمبربند ايمني و دنده عقب</t>
  </si>
  <si>
    <t>ايراد عملكردي NBCM(عدم عملكرد بازر ) رويت شد</t>
  </si>
  <si>
    <t>ايرادعملكردي آمپرخودرو دنا (عدم عملكردآمپر آب)يك نمونه رويت شد</t>
  </si>
  <si>
    <t>گزارش خدمات پس از فروش: در زمان فلاش ، دنده عقب و عدم بستن كمربند آلارم داخل NBCM  كار نمي كند.گزارش پيوست ميباشد.</t>
  </si>
  <si>
    <t>1403/02/16</t>
  </si>
  <si>
    <t>ايراد عملكردي NBCM(يكسره بوده پمپ شيشه شور عقب) رويت شد</t>
  </si>
  <si>
    <t>1403/02/26</t>
  </si>
  <si>
    <t>کاظمی پور</t>
  </si>
  <si>
    <t xml:space="preserve">آثار فلکس بر روی pcb </t>
  </si>
  <si>
    <t>ایراد ظاهری بود رویت شد</t>
  </si>
  <si>
    <t>LCD در تست خودرویی خاموش</t>
  </si>
  <si>
    <t xml:space="preserve">جدا شدن ترانزیستور </t>
  </si>
  <si>
    <t>آثار ضربه بر روی ترانزیستور مشهود است</t>
  </si>
  <si>
    <t>1403/02/20</t>
  </si>
  <si>
    <t>ايراد عملكردي NBCM(عدم عملكرد ريموت) رويت شد</t>
  </si>
  <si>
    <t>قطعه ماژول معیوب</t>
  </si>
  <si>
    <t>قطعه تحویل رحمانی پور</t>
  </si>
  <si>
    <t>اتصالی خازن توسط پاشش قلع</t>
  </si>
  <si>
    <t>گوله قلع در فیکسچر</t>
  </si>
  <si>
    <t>ايرادعملكردي آمپرخودرو تارا (اعداد ناقص نمايشگر)دو نمونه رويت شد</t>
  </si>
  <si>
    <t>ايراد عملكردي NBCM(مغايرت ورژن4/30) رويت شد</t>
  </si>
  <si>
    <t>1403/02/22</t>
  </si>
  <si>
    <t>ايرادعملكردي آمپرخودرو 207 (نگيني ايربگ)يك نمونه رويت شد</t>
  </si>
  <si>
    <t>1403/02/24</t>
  </si>
  <si>
    <t>ايراد عملكردي NBCM(عمكلكرد بازر) رويت شد</t>
  </si>
  <si>
    <t>1403/03/01</t>
  </si>
  <si>
    <t>ايرادعملكردي آمپرخودرو تارا (عملكرد ناقص صفحه نمايشگر)يك نمونه رويت شد</t>
  </si>
  <si>
    <t>ايرادعملكردي آمپرخودرو 207 (عدم عملكرد كامل)يك نمونه رويت شد</t>
  </si>
  <si>
    <t>ايراد عملكردي NBCM(يكسره بودن گرمكن شيشه عقب ) رويت شد</t>
  </si>
  <si>
    <t>1403/03/03</t>
  </si>
  <si>
    <t>1403/03/06</t>
  </si>
  <si>
    <t>عدم تعريف سويچ خودرو ايراد به رويت آقاي مسروري رسانده شد</t>
  </si>
  <si>
    <t>1403/03/07</t>
  </si>
  <si>
    <t>طي بررسي بعمل آمده ايراد عدم عملكرد كامل آمپر يك نمونه رويت گرديد.</t>
  </si>
  <si>
    <t>1403/03/08</t>
  </si>
  <si>
    <t>عدم امكان خوانش سريال رديابي نود  مالتي پلكس  داخل اطاق جديد-SR01-SP</t>
  </si>
  <si>
    <t>IK01843080</t>
  </si>
  <si>
    <t>IK00843780</t>
  </si>
  <si>
    <t>IK01288780</t>
  </si>
  <si>
    <t>NBCM TARA SAL</t>
  </si>
  <si>
    <t>1403/03/02</t>
  </si>
  <si>
    <t>نبودقطعه بازر</t>
  </si>
  <si>
    <t>گورانی،عزت یار</t>
  </si>
  <si>
    <t xml:space="preserve">جدا شدن پد رله </t>
  </si>
  <si>
    <t>شکسته شدن LCD به علت افتادن درب فیکسچر خم کردن هولدر LCD</t>
  </si>
  <si>
    <t>نمایش ناقص LCD</t>
  </si>
  <si>
    <t>لوگو برف ناقص</t>
  </si>
  <si>
    <t>اتصالی کانکتور 18 پین</t>
  </si>
  <si>
    <t>جوادی</t>
  </si>
  <si>
    <t>قطعی بوبین استپر موتور</t>
  </si>
  <si>
    <t>قطعه استپر موتور تحویل غیاثوند</t>
  </si>
  <si>
    <t>ايرادصداي اضافه آمپر دنا(لقي زه كرومي دور موتور)يك نمونه رويت شد</t>
  </si>
  <si>
    <t>PCB چینی</t>
  </si>
  <si>
    <t>1403/03/17</t>
  </si>
  <si>
    <t>ايراد عملكردي NBCM(قطعي و وصل شدن راهنمايي چپ ) رويت شد</t>
  </si>
  <si>
    <t>1403/03/20</t>
  </si>
  <si>
    <t>ايراد عملكرد نادرست آمپر صفحه نمايشگر اعداد ناقص يك نمونه رويت گرديد.</t>
  </si>
  <si>
    <t>1403/03/22</t>
  </si>
  <si>
    <t>طي بررسي بعمل آمده ايراد عدم عملكرد(صفحه نمايشگر) يك نمونه رويت گرديد.</t>
  </si>
  <si>
    <t>عملكرد نادرست جعبه الكترونيكي يك نمونه رويت گردي عملكرد قفل مركزي بسته شدن دربها در زمان حركت خودرو منجر به بروز ايراد شد</t>
  </si>
  <si>
    <t>MFD RUNNA</t>
  </si>
  <si>
    <t>پيرو مراجعه به سالن مونتاژ4 به همراه  نماينده سازنده و در حضور سرگروه شيفت مربوطه يك مورد ايراد  عدم عملكرد قطعه نمايشگر ديجيتالي و پايه نگهدار رويت گرديد.قطعه از نظر ظاهري بررسي و مغايرتي مشاهده نشد با تعويض قطعه ايراد رفع گرديد.</t>
  </si>
  <si>
    <t>IK00473280</t>
  </si>
  <si>
    <t>1403/03/21</t>
  </si>
  <si>
    <t xml:space="preserve">پاشش قلع روی خازن 47N </t>
  </si>
  <si>
    <t>کمبود قلع پد تغذیه BTS</t>
  </si>
  <si>
    <t>بارکد محصول</t>
  </si>
  <si>
    <t>RU8T1F110444009</t>
  </si>
  <si>
    <t>RU8T1F1104440001</t>
  </si>
  <si>
    <t>RU8C1F10204032</t>
  </si>
  <si>
    <t>RU827F10432045</t>
  </si>
  <si>
    <t>RU827F10340094</t>
  </si>
  <si>
    <t>RU827F10362155</t>
  </si>
  <si>
    <t>RU827F10501061</t>
  </si>
  <si>
    <t>RU827F10492099</t>
  </si>
  <si>
    <t>RU8C1F10583047</t>
  </si>
  <si>
    <t>RU827F10162125</t>
  </si>
  <si>
    <t>RU827F10282114</t>
  </si>
  <si>
    <t>جدا شدن یکی از پایه های L9826</t>
  </si>
  <si>
    <t>آثار پین های فیکسچر ICT مشهود است</t>
  </si>
  <si>
    <t>RU827F10192113</t>
  </si>
  <si>
    <t>RJAD2F10270437</t>
  </si>
  <si>
    <t>RJAD2F10270105</t>
  </si>
  <si>
    <t>RJA24F10140015</t>
  </si>
  <si>
    <t>RU8D1F10232076</t>
  </si>
  <si>
    <t>RJA32F10320537</t>
  </si>
  <si>
    <t>RJA32F10490235</t>
  </si>
  <si>
    <t>معیوب بودن قطعه کریستال</t>
  </si>
  <si>
    <t>RJA32F10550164</t>
  </si>
  <si>
    <t>1403/03/26</t>
  </si>
  <si>
    <t>1403/03/30</t>
  </si>
  <si>
    <t>1403/04/03</t>
  </si>
  <si>
    <t>1403/04/10</t>
  </si>
  <si>
    <t>ايراد عملكردي NBCM(كيلومتر شماربالا 34823 ) رويت شد</t>
  </si>
  <si>
    <t>ايراد عملكردي NBCM(عدم عملكرد روشن نشدن  ) رويت شد</t>
  </si>
  <si>
    <t>ايراد عملكردآمپر(عقربه كيلومتر شمار60) يك نمونه رويت گرديد.</t>
  </si>
  <si>
    <t>ايراد عملكردآمپر(عدم عملكرد كولر) يك نمونه رويت گرديد.</t>
  </si>
  <si>
    <t>ايراد عملكردآمپر(كاليبره نبودن عقربه دور موتور) يك نمونه رويت گرديد.</t>
  </si>
  <si>
    <t>ايراد عملكردآمپر(عدم عملكرد صفحه نمايشگرناقص) دو نمونه رويت گرديد.</t>
  </si>
  <si>
    <t>1403/04/11</t>
  </si>
  <si>
    <t>LCD معیوب</t>
  </si>
  <si>
    <t>تحویل مهندس رحمانی پور</t>
  </si>
  <si>
    <t xml:space="preserve">طي بررسي بعمل آمده ايراد عملكردنادرست آمپر صفحه نمايشگر  </t>
  </si>
  <si>
    <t>طي بررسي بعمل آمده ايراد يكسره روشن ماندن نگيني كليد فلاشر نمونه رويت گرديد.</t>
  </si>
  <si>
    <t>اتصالی قطعات SMD  توسط نفر شارژ جلو آمپر</t>
  </si>
  <si>
    <t>عدم دقت نفر کنترل نهایی</t>
  </si>
  <si>
    <t>1403/04/16</t>
  </si>
  <si>
    <t>RJAK1F10770004</t>
  </si>
  <si>
    <t>کریستال معیوب</t>
  </si>
  <si>
    <t>گیر استپر موتور</t>
  </si>
  <si>
    <t>RMF91F1055000282</t>
  </si>
  <si>
    <t>RJAK1F10910186</t>
  </si>
  <si>
    <t>RJA24F10630053</t>
  </si>
  <si>
    <t>جانی زاده،فیروزبخت</t>
  </si>
  <si>
    <t>RJAD2F10160269</t>
  </si>
  <si>
    <t>1403/04/12</t>
  </si>
  <si>
    <t>1403/04/14</t>
  </si>
  <si>
    <t>ايراد عملكردي NBCM(عملكرد ريموت ) يك نمونه رويت شد</t>
  </si>
  <si>
    <t>تكرار بالاي ايراد مونتاژ ناقص جعبه الكترونيكي روي براكت رويت گرديد .</t>
  </si>
  <si>
    <t>ايراد مغايرت NBCM(ناخوانا بودن ليبل رديابي)  رويت شد</t>
  </si>
  <si>
    <t>1403/04/20</t>
  </si>
  <si>
    <t>بردKDJ</t>
  </si>
  <si>
    <t>RJAC1F10750269,0025</t>
  </si>
  <si>
    <t>تحویل مهندس مرزوقی</t>
  </si>
  <si>
    <t>1403/03/13</t>
  </si>
  <si>
    <t>تحویل مهندس لهراسبی</t>
  </si>
  <si>
    <t>1403/04/17</t>
  </si>
  <si>
    <t>ايراد دفرمگي موج كليد بالابر درب جلو راست در مجموعه دستگيره مچي درب جلو راست سازه پويش كه ايراد به رويت نماينده ساپگو آقاي پور حلم رسيده است .*** فرشادفر</t>
  </si>
  <si>
    <t>1403/04/21</t>
  </si>
  <si>
    <t>ايراد مغايرت NBCM(عدم عملكرد راهنماي چپ)  رويت شد</t>
  </si>
  <si>
    <t>1403/04/23</t>
  </si>
  <si>
    <t>ايراد عملكردي آمپر (عدم عملكرد عقربه كيلومتر شمار) رويت گرديد.</t>
  </si>
  <si>
    <t>1403/04/24</t>
  </si>
  <si>
    <t>پليسه گيري نامناسب لبه قاب كليد شيشه بالابر درب جلو راست</t>
  </si>
  <si>
    <t>1403/04/31</t>
  </si>
  <si>
    <t>ايراد عملكردي آمپر ( عملكردنادرست اهرم تنظيم نور پشت آمپر) رويت گرديد.</t>
  </si>
  <si>
    <t>ايراد كسري خار نگهدارنده روي براكت  NBCM رويت شد</t>
  </si>
  <si>
    <t>ايراد صداي اضافه آمپر (  اهرم تنظيم نور پشت آمپر) رويت گرديد.</t>
  </si>
  <si>
    <t>ايرادعملكردي آمپر( عملكردنادرست نگيني ESP)يك نمونه رويت شد.عطف به اخطار193938</t>
  </si>
  <si>
    <t>پيرو مراجعه به سالن مونتاژ4 به همراه  نماينده سازنده و در حضور سرگروه شيفت مربوطه يك مورد ايراد عملكرد نادرست( عدم نمايش سنسور دنده عقب)  قطعه نمايشگر ديجيتالي و پايه نگهدار رويت گرديد.قطعه از نظر ظاهري بررسي و مغايرتي مشاهده نشد با تعويض قطعه ايراد برطرف گرديد. كد رديابي قطعه: f1 100 000 358</t>
  </si>
  <si>
    <t>1403/05/01</t>
  </si>
  <si>
    <t>ايراد عملكردي آمپر (عدم عملكرد صفحه نمايشگر) رويت گرديد.</t>
  </si>
  <si>
    <t>1403/05/03</t>
  </si>
  <si>
    <t>ايراد عملكردي  NBCM (عدم عملكرد چراغهاي كوچك جلو ) رويت شد</t>
  </si>
  <si>
    <t>1403/05/14</t>
  </si>
  <si>
    <t>ايراد عدم عملكرد نشانگر هاي پشت امپر كه ايراد در pdi مشاهده گرديده است</t>
  </si>
  <si>
    <t>IK016269PB</t>
  </si>
  <si>
    <t>1403/05/20</t>
  </si>
  <si>
    <t>عدم امكان خوانش سريال رديابي نود  مالتي پلكس  داخل اطاق</t>
  </si>
  <si>
    <t>IK01750880</t>
  </si>
  <si>
    <t>RU827F10704212</t>
  </si>
  <si>
    <t>RU8T1F11113006</t>
  </si>
  <si>
    <t>1403/05/22</t>
  </si>
  <si>
    <t>1403/05/26</t>
  </si>
  <si>
    <t>1403/05/29</t>
  </si>
  <si>
    <t>LCD محو</t>
  </si>
  <si>
    <t>فلت بصورت کامل جا نخورده بود</t>
  </si>
  <si>
    <t>LCD تحویل رحمانی پور</t>
  </si>
  <si>
    <t>RJAD2F11160015</t>
  </si>
  <si>
    <t>RJA24F10810157</t>
  </si>
  <si>
    <t>RJA24F10810142</t>
  </si>
  <si>
    <t>شکسته بودن مقاومت</t>
  </si>
  <si>
    <t>RJAK1F1093480</t>
  </si>
  <si>
    <t>1403/05/17</t>
  </si>
  <si>
    <t>RJAC1F10910103</t>
  </si>
  <si>
    <t>گیر عقربه</t>
  </si>
  <si>
    <t>عدم اتصال صحیح پایه BTS7030</t>
  </si>
  <si>
    <t>شریفی</t>
  </si>
  <si>
    <t>اکرادی</t>
  </si>
  <si>
    <t>مشکل کیفی LCD</t>
  </si>
  <si>
    <t>فریدونی</t>
  </si>
  <si>
    <t>کانکتور</t>
  </si>
  <si>
    <t>LCD</t>
  </si>
  <si>
    <t>عدم اعلام  اخطار  هشدار(بازر)</t>
  </si>
  <si>
    <t>عقربه</t>
  </si>
  <si>
    <t>ورژن</t>
  </si>
  <si>
    <t>كيلومتر شمار</t>
  </si>
  <si>
    <t>1403/05/21</t>
  </si>
  <si>
    <t>عدم عملكرد ادوات برقي شيشه بالابرها ، كولر،راهنما،برف پاككن به علت معيوب بودن CBM -ايراد در انبارهاي سايت مركزي مشاهده شده است.</t>
  </si>
  <si>
    <t>1403/05/23</t>
  </si>
  <si>
    <t>مشكل عدم نمايش صحيح دما در خودرو 207 اتومات/خدمات پس از فروش</t>
  </si>
  <si>
    <t>1403/05/25</t>
  </si>
  <si>
    <t>کلید شیشه بالابر جلو راست سورن</t>
  </si>
  <si>
    <t>ايراد طبله رنگ كليد شيشه بالابر مربوط به كيفيت قطعه ميباشد.******طرقي</t>
  </si>
  <si>
    <t>1403/05/28</t>
  </si>
  <si>
    <t>ايراد عملكردي  NBCM عدم عملكرد چراغ سقف(روشن ماندن ) رويت شد</t>
  </si>
  <si>
    <t>1403/05/31</t>
  </si>
  <si>
    <t>ايراد ظاهري انطباق  NBCM عدم مونتاژ صحيح قطعه روي براكت رويت شد</t>
  </si>
  <si>
    <t>1403/05/30</t>
  </si>
  <si>
    <t>ايراد عملكردي  NBCM عدم عملكردآلارم راهنما و چراغها يك نمونه رويت شد</t>
  </si>
  <si>
    <t>ايراد عملكردي  NBCM چراغ دنده عقب يكسره يك نمونه رويت شد</t>
  </si>
  <si>
    <t>IK01641180</t>
  </si>
  <si>
    <t xml:space="preserve"> براکت</t>
  </si>
  <si>
    <t>ایراد اعلام شده مشتری</t>
  </si>
  <si>
    <t>شرح ایراد</t>
  </si>
  <si>
    <t>محصولات</t>
  </si>
  <si>
    <t>MFD</t>
  </si>
  <si>
    <t>جلو آمپر</t>
  </si>
  <si>
    <t>ظاهری</t>
  </si>
  <si>
    <t>پاشش قلع</t>
  </si>
  <si>
    <t>قطعه کریستال معیوب</t>
  </si>
  <si>
    <t xml:space="preserve">قطعه شکسته(مقاومت) </t>
  </si>
  <si>
    <t>-</t>
  </si>
  <si>
    <t>قطعی بوبین بازر</t>
  </si>
  <si>
    <t>1403/06/05</t>
  </si>
  <si>
    <t>1403/06/06</t>
  </si>
  <si>
    <t>1403/06/08</t>
  </si>
  <si>
    <t>1403/06/13</t>
  </si>
  <si>
    <t>1403/06/15</t>
  </si>
  <si>
    <t>1403/06/17</t>
  </si>
  <si>
    <t>1403/06/20</t>
  </si>
  <si>
    <t>1403/06/18</t>
  </si>
  <si>
    <t>1403/06/25</t>
  </si>
  <si>
    <t>1403/06/26</t>
  </si>
  <si>
    <t>طي بررسي بعمل آمده ايراد عملكرد صفحه نمايشگر يك نمونه رويت گرديد.</t>
  </si>
  <si>
    <t>ايراد عملكردي آمپر (عدم عملكردكامل ) رويت گرديد.</t>
  </si>
  <si>
    <t>پليسه گيري نامناسب و اثر قالب روي قاب كليد شيشه بالابر</t>
  </si>
  <si>
    <t>وجود پليسه اضافه  بر روي لبه قاب دستگيره شيشه بالابر</t>
  </si>
  <si>
    <t>پيرو مراجعه به سالن PDI به همراه نمايندگان محترم شركت سازه پويش يك مورد ايراد عملكرد نادرست (سگمنت ناقص)  قطعه نمايشگر ديجيتالي (MFD)  رويت گرديد. قطعه از نظر ظاهري بررسي شد كه مغايرتي از نظر آسيب ديدگي رويت نگرديد و لذا با تعويض قطعه سالم با قطعه ايراددار، ايراد مرتفع گرديد. كد رديابي قطعه: RME 91 F1 124 000385</t>
  </si>
  <si>
    <t>ايراد عملكردي آمپر (بهم ريختگي سگمنت هاLCD ) رويت گرديد.</t>
  </si>
  <si>
    <t>ايراد عملكردي آمپر (عدم برنامه آمپردستي و عقربه دور موتور پله اي ) رويت گرديد.</t>
  </si>
  <si>
    <t>ايراد ظاهري آمپر(خرابي زه كرومي  ) رويت گرديد.</t>
  </si>
  <si>
    <t>ايراد عملكردآمپر(عدم عملكرد آمپر دور موتور) رويت گرديد.</t>
  </si>
  <si>
    <t>ايراد كليك نكردن سوكت بر روي قطعه  NBCM   يك نمونه رويت شد</t>
  </si>
  <si>
    <t>نداشتن رزوه پيچ براكت نودمالتي پلكس داخل اطاقجديدSC02-SP_ايرادبه روئيت نماينده ساپكو رسيده است.</t>
  </si>
  <si>
    <t>ايراد عملكردي  NBCM يكسره بودن برف پاكن عقب  يك نمونه رويت شد</t>
  </si>
  <si>
    <t>مغايرت در لاگ برداري انجام شده توسط ايتراك عطف به فايل يوست.</t>
  </si>
  <si>
    <t>ايراد عملكردي  NBCM يكسره بودن چراغ سقف عقب  يك نمونه رويت شد</t>
  </si>
  <si>
    <t>IK016270PB</t>
  </si>
  <si>
    <t>IK01403780</t>
  </si>
  <si>
    <t>براکت</t>
  </si>
  <si>
    <t>1402/07/03</t>
  </si>
  <si>
    <t>اتصالی خازن 47 نانو</t>
  </si>
  <si>
    <t>تحویل مهندس مرادی</t>
  </si>
  <si>
    <t>1403/06/27</t>
  </si>
  <si>
    <t>1403/06/28</t>
  </si>
  <si>
    <t>1403/07/02</t>
  </si>
  <si>
    <t>1403/07/03</t>
  </si>
  <si>
    <t>1403/07/04</t>
  </si>
  <si>
    <t>عملكرد نادرست آمپر اب</t>
  </si>
  <si>
    <t>ايراد عملكردآمپر(عملكرد نادرست دور موتور برگشت پله اي) رويت گرديد.</t>
  </si>
  <si>
    <t>ايراد عملكردآمپر(عملكرد نادرست LCD بهم ريختگي) رويت گرديد.</t>
  </si>
  <si>
    <t>ايراد عملكرد نادرست NBCM عملكرد مه شكن جلو يكسره ميباشد</t>
  </si>
  <si>
    <t>ايراد عملكردآمپر(عدم عملكرد بك لايت پشت آمپر آب) رويت گرديد.</t>
  </si>
  <si>
    <t>ايراد عملكردآمپر(عدم عملكرد صفحه نمايشگر) رويت گرديد.</t>
  </si>
  <si>
    <t>مردودي در برخي از آيتمهاي تست Software and Network Performance بند 43تست پلن،عطف به گزارش دريافت شده از ايتراك.</t>
  </si>
  <si>
    <t>عدم عملكرد كليد قفل كن شيشه بالابرھاي عقب روي پنل شيشه بالابر در جلو چپ - ايراد به روئيت آقاي كشاورز رسيده است.</t>
  </si>
  <si>
    <t>IK016268PB</t>
  </si>
  <si>
    <t>قفل کودک</t>
  </si>
  <si>
    <t>1403/07/07</t>
  </si>
  <si>
    <t>1403/07/10</t>
  </si>
  <si>
    <t>1403/07/11</t>
  </si>
  <si>
    <t>1403/07/12</t>
  </si>
  <si>
    <t>1403/07/14</t>
  </si>
  <si>
    <t>1403/07/16</t>
  </si>
  <si>
    <t>1403/07/18</t>
  </si>
  <si>
    <t>1403/07/21</t>
  </si>
  <si>
    <t>ايراد عملكردي  NBCM (روشن ماندن چراغ سقف)  يك نمونه رويت شد</t>
  </si>
  <si>
    <t>ايراد عملكردآمپر(عدم عملكرد ادوات پشت آمپر) رويت گرديد.</t>
  </si>
  <si>
    <t>ايراد عملكردآمپر(عدم عملكردبك لايت آمپر بنزين) رويت گرديد.</t>
  </si>
  <si>
    <t>ايراد عملكردآمپر(عدم عملكرد عقربه دور موتور ) رويت شد</t>
  </si>
  <si>
    <t>ايراد عملكردي  NBCM (عدم عملكرد بوق)  يك نمونه رويت شد</t>
  </si>
  <si>
    <t>ايراد عدم عملكرد كليد تاشو آينه(فرشادفر)</t>
  </si>
  <si>
    <t>ايراد عملكردجلوآمپر(عدم عملكرد نگيني كليد فلاشر ) رويت شد</t>
  </si>
  <si>
    <t>ايراد عملكردجلوآمپر(عدم عملكرد آلارم راهنما و دنده عقب) رويت شد</t>
  </si>
  <si>
    <t>عدم عملكرد ادوات برقي خودرو بدليل ايراد جعبه الكترونيكي مالتي پلكس در خدمات پس از فروش</t>
  </si>
  <si>
    <t>گير داشتن نشانگر بنزين در خدمات پس از فروش عطف به گزارش پيوست.</t>
  </si>
  <si>
    <t>ايراد عملكردي  NBCM (عدم عملكرد چراغ نگيني قفل مركزي)  يك نمونه رويت شد</t>
  </si>
  <si>
    <t>ايراد عملكردجلوآمپر(عدم عملكرد صفحه نمايشگر ) رويت شد</t>
  </si>
  <si>
    <t>ايراد عملكردجلوآمپر(عدم عملكرد كامل ) رويت شد</t>
  </si>
  <si>
    <t>ايراد عملكردجلوآمپر(عدم نمايش دماسنج برروي صفحه نمايشگر مالتي مديا ) يك نمونه رويت شد (ايراد داراي سابقه )ميباشد</t>
  </si>
  <si>
    <t>ايراد عدم عملكرد NBCM(اتصالي و روشن نشدن) يك مورد به رويت آقاي فيروزي رسانده شد قطعه تحويل سازنده گرديد.</t>
  </si>
  <si>
    <t>ايراد عملكردجلوآمپر( دائم روشن ماندن پشت آمپر ) رويت شد</t>
  </si>
  <si>
    <t>ايراد عملكردجلوآمپر(عملكرد نادرست Back Light سرعت سنج ) رويت شد.</t>
  </si>
  <si>
    <t>مغايرت در لاگ برداري انجام شده توسط ايتراك.(گزارش پيوست)</t>
  </si>
  <si>
    <t xml:space="preserve">عدم عملكرد ادوات برقي خودرو </t>
  </si>
  <si>
    <t xml:space="preserve">عدم عملكرد كامل </t>
  </si>
  <si>
    <t>ایتراک</t>
  </si>
  <si>
    <t>1402/07/16</t>
  </si>
  <si>
    <t>شکستگی LCD بر اثر ضربه</t>
  </si>
  <si>
    <t>بعد از ارسال قطعه</t>
  </si>
  <si>
    <t>تاب داشتن چرخ دنده استپر موتور</t>
  </si>
  <si>
    <t>عملکرد تصادفی دارد</t>
  </si>
  <si>
    <t>در تستر قابل تشخیص نمی باشد</t>
  </si>
  <si>
    <t>رگولاتور بر اثر جایگذاری نامناسب برد و یا جابجایی شکسته</t>
  </si>
  <si>
    <t>شارژ قطعات SMD بصورت دستی</t>
  </si>
  <si>
    <t>1402/07/17</t>
  </si>
  <si>
    <t>اتصالی خازن توسط گوله قلع</t>
  </si>
  <si>
    <t>مدارک</t>
  </si>
  <si>
    <t>عکس</t>
  </si>
  <si>
    <t>قطعی قطعه BTS7200</t>
  </si>
  <si>
    <t>شکسته شدن مقاومت</t>
  </si>
  <si>
    <t>قطعی وایا</t>
  </si>
  <si>
    <t>قطعی وایا جهان</t>
  </si>
  <si>
    <t>1402/07/24</t>
  </si>
  <si>
    <t>احتمالا ایراد قطعی وایا بازر بوده</t>
  </si>
  <si>
    <t>تحویل مهندس مرزوقی جهت تست خودرویی</t>
  </si>
  <si>
    <t>بارکد روی قاب با حافظه pcb مطابقت ندارد</t>
  </si>
  <si>
    <t>قاب فاقد علامت سنبه می باشد</t>
  </si>
  <si>
    <t>اتصالی bts7200</t>
  </si>
  <si>
    <t>تست با بنچ مشخص گردید که در خط مشتری بوسیله دیاگ بعضی از گزینه ها غیرفعال شده که باعث بروز ایراد گردیده است</t>
  </si>
  <si>
    <t>کانفینگ اشتباه</t>
  </si>
  <si>
    <t xml:space="preserve">قطعه تعمیری </t>
  </si>
  <si>
    <t>1403/07/26</t>
  </si>
  <si>
    <t>ايراد عملكرد  NBCM  ( عدم تعريف ريموت ) ميباشد</t>
  </si>
  <si>
    <t>ايراد عملكردجلوآمپر(عدم عملكرد عقربه سرعت سنج ) رويت شد.</t>
  </si>
  <si>
    <t>ايراد عملكردجلوآمپر(قطع و وصل پشت آمپر ) رويت شد.</t>
  </si>
  <si>
    <t>1403/07/28</t>
  </si>
  <si>
    <t>ايراد عملكردجلوآمپر(عدم عملكرد كامل ) رويت شد.</t>
  </si>
  <si>
    <t>اختلال عملكردي نودهاي مرتبط با NBCM طبق گزارش پسويت</t>
  </si>
  <si>
    <t>1403/07/29</t>
  </si>
  <si>
    <t>پليسه گيري نامطلوب كليد شيشه بالابر*****طرقي</t>
  </si>
  <si>
    <t>1403/07/30</t>
  </si>
  <si>
    <t>ايراد عملكرد  NBCM  ( روشن نشدن خودرو استارت عملكرد ندارد) 2 مورد رويت شد</t>
  </si>
  <si>
    <t>عدم عملكرد كليد آينه تاشو در مجموعه كليد شيشه بالابر جلو چپ - خاكستري تيره- خودرو دنا؛ مرتبط با  شركت سازه پويش</t>
  </si>
  <si>
    <t>1403/08/01</t>
  </si>
  <si>
    <t>وجود پليسه و پليسه گيري نامناسب قاب كليد شيشه بالابر عقب راست</t>
  </si>
  <si>
    <t>1403/08/05</t>
  </si>
  <si>
    <t>ايراد ظاهري جلوآمپر(كج بودن عقربه دور موتور ) رويت شد</t>
  </si>
  <si>
    <t>ايراد عدم عملكرد كليد ها طبق بررسي مشخص گرديد ايراد مربوط به درفتگي خار پنل كليد بالابر كه ايراد به رويت نماينده سازنده اقاي راوندي رسيد</t>
  </si>
  <si>
    <t>1403/08/06</t>
  </si>
  <si>
    <t>ايراد عملكرد  NBCM  (خطاي مجازي .عدم پيكربنديNot OK) 1 مورد رويت شد</t>
  </si>
  <si>
    <t>ايراد عملكرد  NBCM  (يكسره روشن ماندن چراغهاي جلو) يك مورد رويت شد</t>
  </si>
  <si>
    <t>1403/08/09</t>
  </si>
  <si>
    <t>ايراد عدم مونتاژ  NBCM  (عدم مونتاژNBCM برروي براكت شل بودن مهره ) هشت مورد رويت شد</t>
  </si>
  <si>
    <t>ايراد عملكردي  NBCM روشن نشدن خودرو (عدم عملكرد استارت  ) 2 مورد رويت شد</t>
  </si>
  <si>
    <t>1403/08/10</t>
  </si>
  <si>
    <t>جداشدن قاب تزئيني(تلق)جلو آمپر_طي بررسي هاي صورت گرفته منشأ ايراد مشاهده شده در سالن مونتاژ از عدم فرايند صحيح توليد قطعه توسط سازنده مي باشد.ايراد به روئيت نماينده ساپكو رسيده است.</t>
  </si>
  <si>
    <t>IK014085DG</t>
  </si>
  <si>
    <t>IK016271PB</t>
  </si>
  <si>
    <t>مسیح زاده</t>
  </si>
  <si>
    <t>1403/08/02</t>
  </si>
  <si>
    <t>ایراد در قفل کن کانکتور</t>
  </si>
  <si>
    <t>1403/08/13</t>
  </si>
  <si>
    <t>ايراد عملكردي جلوآمپر(عدم عملكردكامل ) رويت شد.</t>
  </si>
  <si>
    <t>1403/08/16</t>
  </si>
  <si>
    <t>ايراد عملكردي  NBCM (پمپ شيشه شور يكسره ) يك مورد رويت شد</t>
  </si>
  <si>
    <t>مردود شدن در لاگ برداري انجام شده در ايتراك عطف به گزارش پيوست.</t>
  </si>
  <si>
    <t>1403/08/24</t>
  </si>
  <si>
    <t>ايراد عملكردي  NBCM (صداي بازر دنده عقب قطعي و غير عادي )دو مورد رويت شد</t>
  </si>
  <si>
    <t>1403/08/22</t>
  </si>
  <si>
    <t>ايراد عملكردي  NBCM (علائم سنسور دنده عقب )يك مورد رويت شد</t>
  </si>
  <si>
    <t>1403/08/20</t>
  </si>
  <si>
    <t>ايراد عملكردي  NBCM (عملكرد شيشه بالابر جلو راست)يك مورد رويت شد</t>
  </si>
  <si>
    <t>ايراد ظاهري جلوآمپر(آبكاري زه كرومي آمپر دور موتور) رويت شد.</t>
  </si>
  <si>
    <t>ايراد عملكرد جلوآمپر(بالاي صفحه نمايشگر سمت چپ اثر لكه) رويت شد</t>
  </si>
  <si>
    <t>دفرمگي و ظاهر نامناسب قاب كليد شيشه بالابر جلو راست</t>
  </si>
  <si>
    <t>ايراد جعبه الكترونيكي  nbcm ايراد عدم ارسال سيگنا به رله استارت خودرو به تعداد 4 مورد عزيزي</t>
  </si>
  <si>
    <t>ايراد مغايرت كانكتور قطعه NBCM يك نمونه رويت شد</t>
  </si>
  <si>
    <t>پلمپ قطعه باز بوده</t>
  </si>
  <si>
    <t>وجود گوله قلع در پایه های IC میکرو</t>
  </si>
  <si>
    <t>شکستگی رگلاتور ورودی خازن</t>
  </si>
  <si>
    <t>قطعه شکسته(رگلاتور)</t>
  </si>
  <si>
    <t>1403/08/18</t>
  </si>
  <si>
    <t>با شوک حرارتی قطعه Okشد</t>
  </si>
  <si>
    <t>قطعه دیود معیوب</t>
  </si>
  <si>
    <t>قطعه مورد تایید نبوده و در محصول استفاده گردیده</t>
  </si>
  <si>
    <t>استپر موتور تحویل مهندس رحمانی پور</t>
  </si>
  <si>
    <t>1403/08/27</t>
  </si>
  <si>
    <t>شکسته بودن خازن ورودی رگلاتور</t>
  </si>
  <si>
    <t>با تست بر روی بنچ یک بار ایراد مشاهده و دیگر موردی مشاهده نگردید.</t>
  </si>
  <si>
    <t>1403/09/07</t>
  </si>
  <si>
    <t>کنده نشدن برچسب پشت LCD</t>
  </si>
  <si>
    <t>اکرادی،اعتمادی</t>
  </si>
  <si>
    <t>برنامه روی جلو آمپر مربوط به شرکت نمی باشد</t>
  </si>
  <si>
    <t>تندرو،زندی</t>
  </si>
  <si>
    <t>در زمان مونتاژ عقربه به دلیل عدم جایگیری صحیح در گیج با فشار لودسل عقربه کج و توسط بازرس دیده نشده</t>
  </si>
  <si>
    <t>کم بودن گوشت خار مجموعه کلید</t>
  </si>
  <si>
    <t>استفاده از بازرURS</t>
  </si>
  <si>
    <t>با تاییدیه مهندس یگانه و میبدی</t>
  </si>
  <si>
    <t>1403/08/29</t>
  </si>
  <si>
    <t>ايراد عملكردي  NBCM (تعريف سويچ)يك مورد رويت شد</t>
  </si>
  <si>
    <t>ماژول معیوب</t>
  </si>
  <si>
    <t>ايراد عملكرد جلوآمپر(عدم عملكردآمپر بنزين ) رويت شد.</t>
  </si>
  <si>
    <t>ايراد ظاهري جلوآمپر(اشياء اضافه در آمپر دور موتور) رويت شد.</t>
  </si>
  <si>
    <t>ايراد ناصافي و دفرمگي پنل كليد شيشه بالابر در عقب چپ( پليسه دار بودن قطعه )</t>
  </si>
  <si>
    <t>1403/09/03</t>
  </si>
  <si>
    <t>ايراد صداي اضافه جلوآمپر(در حالت سويچ باز) رويت شد.</t>
  </si>
  <si>
    <t>1403/09/06</t>
  </si>
  <si>
    <t>ايراد عملكرد آمپر(عدم عملكرد كامل) رويت گرديد</t>
  </si>
  <si>
    <t>ايراد عملكردآمپر(عدم عملكرد نگيني AUTO) رويت گرديد</t>
  </si>
  <si>
    <t>1403/09/08</t>
  </si>
  <si>
    <t>ايراد عملكردآمپر(عدم عملكرد بك لايت آمپر) رويت گرديد</t>
  </si>
  <si>
    <t>1403/09/13</t>
  </si>
  <si>
    <t>ايراد عملكردآمپر(كم نور بودن صفحه نمايشگر) رويت گرديد</t>
  </si>
  <si>
    <t>1403/09/12</t>
  </si>
  <si>
    <t>RJAD1F11800221</t>
  </si>
  <si>
    <t>RJA24F12360145</t>
  </si>
  <si>
    <t>زیاد بودن قلع مقاومت</t>
  </si>
  <si>
    <t>یوسفی</t>
  </si>
  <si>
    <t>1403/09/20</t>
  </si>
  <si>
    <t>ايراد عدم عملكرد كليد قطع كن شيشه بالابر درب هاي عقب. ايراد به روئيت نماينده ساپكو رسيد.</t>
  </si>
  <si>
    <t>1403/09/21</t>
  </si>
  <si>
    <t>ايراد عملكرد جلو آمپر عدم عملكرد كامل به اطلاع مهندس لهراسبي رسانده شد.</t>
  </si>
  <si>
    <t>1403/09/25</t>
  </si>
  <si>
    <t>ايراد عملكرد NBCM (عدم عملكردراهنماي چپ ) رويت شد</t>
  </si>
  <si>
    <t>ايراد عملكرد جلو آمپر عدم عملكرد كامل آمپر يك نمونه رويت شد.</t>
  </si>
  <si>
    <t>1403/10/01</t>
  </si>
  <si>
    <t>ايراد عملكرد NBCM (عدم عملكرد شيشه بالابر جلو راست  ) رويت شد ايراد به اطلاع نماينده سازنده رسانده شد.</t>
  </si>
  <si>
    <t>1403/09/27</t>
  </si>
  <si>
    <t>مغايرت رنگ سوكت 15 خانه سياه رنگ با سفيد و بلعكس</t>
  </si>
  <si>
    <t>ايراد عملكرد صفحه نمايشگر يك نمونه رويت گرديد.</t>
  </si>
  <si>
    <t>ايراد عدم عملكرد كليد شيشه بالابر. ايراد به روئيت نماينده ساپكو رسيد.</t>
  </si>
  <si>
    <t>ايراد عملكرد NBCM (عدم عملكرد قفل مركزي ) رويت شد ايراد به اطلاع نماينده سازنده رسانده شد.</t>
  </si>
  <si>
    <t>1403/10/05</t>
  </si>
  <si>
    <t>ايراد عملكرد NBCM(عدم عملكرد چراغ عقب چپ) رويت شد و به اطلاع كارشناس سازنده مهندس يگانه رسانده شد.</t>
  </si>
  <si>
    <t>ايراد ناخوانا بودن ليبل رديابي قطعه NBCM رويت و ليبل تحويل نماينده سازنده گرديد.</t>
  </si>
  <si>
    <t>پيرو مراجعه به سالن تكميلكاري 4 در حضور كيفيت سالن يك موردايراد عملكرد نادرست (سگمنت ناقص)  قطعه نمايشگر ديجيتالي (MFD)  رويت گرديد. قطعه از نظر ظاهري بررسي شد كه مغايرتي از نظر آسيب ديدگي رويت نگرديد و لذا با تعويض قطعه ايراددار با قطعه سالم ايراد مرتفع گرديد. كد رديابي قطعه: F1 271 0006</t>
  </si>
  <si>
    <t>1403/10/06</t>
  </si>
  <si>
    <t>1403/10/08</t>
  </si>
  <si>
    <t>عدم امكان خوانش سريال رديابي نود  مالتي پلكس  داخل اطاق ، (ايراد پرتكرار) -(( تكرار هشدار 199849&amp;196759))</t>
  </si>
  <si>
    <t>1403/10/10</t>
  </si>
  <si>
    <t>ايراد عملكرد جلو آمپر با ايراد عملكرد نادرست  نگيني كليد فلاشر يك مورد رويت شد</t>
  </si>
  <si>
    <t>1403/10/16</t>
  </si>
  <si>
    <t>پيرو مراجعه به سالن تكميلكاري 4 در حضور كيفيت سالن و سرگروه شيفت مربوطه 1 مورد ايراد عدم عملكرد  قطعه نمايشگر ديجيتالي (MFD)  رويت گرديد. قطعه از نظر ظاهري بررسي شد كه مغايرتي از نظر آسيب ديدگي وجود نداشت و لذا با تعويض قطعه ايراددار با قطعه سالم ايراد مرتفع گرديد.</t>
  </si>
  <si>
    <t>1403/10/17</t>
  </si>
  <si>
    <t>ايراد عملكرد نادرست جلو آمپر عقربه بنزين و دور موتور يك نمونه رويت شد</t>
  </si>
  <si>
    <t>با مونتاژ بر روی محصول دیگر عملکرد نداشت</t>
  </si>
  <si>
    <t>RJAD1F12600343</t>
  </si>
  <si>
    <t>RJA32F12530526</t>
  </si>
  <si>
    <t>با مونتاژ مجدد محصول کار کرد</t>
  </si>
  <si>
    <t>1403/10/18</t>
  </si>
  <si>
    <t>ايراد عدم عملكرد CBM و  روشن نشدن خودرو. مشاهده شده در سالن آناليز سايت مركزي.</t>
  </si>
  <si>
    <t>1403/10/20</t>
  </si>
  <si>
    <t>ايراد عملكرد جلو آمپر با ايراد عملكرد نادرست عقربه دور موتورو صداي اضافه يك مورد رويت شد</t>
  </si>
  <si>
    <t>ايراد عملكرد جلو آمپر با ايراد عملكرد نادرست عقربه دور موتور يك مورد رويت شد</t>
  </si>
  <si>
    <t xml:space="preserve"> روشن نشدن خودرو</t>
  </si>
  <si>
    <t>قطعه LCD معیوب</t>
  </si>
  <si>
    <t>عدم اتصال صحیح پایه BTS</t>
  </si>
  <si>
    <t>ظاهرا قلع سرد می باشد</t>
  </si>
  <si>
    <t>استفاده از کانکتور40پین  یک سمت</t>
  </si>
  <si>
    <t>قطعه مربوط به قطعات کلیم می باشد که توسط تعمیرات Okشده و به علت درج ایراد عملکردی بر روی کارت کلیم متوجه یکی بودن کانکتور نگردیده و ابا توجه به نیاز مبرم مشتری و فشار مدیریت قطعه تست عملکردی شده و به علت عدم تشخیص تستر کنترل نهایی قطعه OK شده و ارسال گردیده</t>
  </si>
  <si>
    <t>1403/10/27</t>
  </si>
  <si>
    <t>عدم اتصال پد تغذیه BTS</t>
  </si>
  <si>
    <t>در زمان دمونتاژ قطعه BTS قلع اضافه به علت  عدم قلع پذیر پد قطعه مشاهده گردید</t>
  </si>
  <si>
    <t>پس از دمونتاژ محصول شکستگی بر روی برد مشاهده گردید</t>
  </si>
  <si>
    <t>1403/10/26</t>
  </si>
  <si>
    <t>ايراد عملكرد مجموعه جلو آمپر حين استارت قطع و وصلي پشت آمپر در آديت رويت و به اطلاع مهندس لهراسبي رسانده شد</t>
  </si>
  <si>
    <t>ايراد تكرار بودن ليبل  NBCM (سه مرتبه برروي سه قطعه ) رويت شد ليبل تحويل نماينده شد</t>
  </si>
  <si>
    <t>ايراد عملكرد جلو آمپر با ايراد( عدم عملكرد نگيني و نشانگرهاي پشت آمپر) يك مورد رويت شد</t>
  </si>
  <si>
    <t>ايراد عملكرد  NBCM (عدم عملكرد بالابر عقب چپ ) رويت شد</t>
  </si>
  <si>
    <t>1403/10/29</t>
  </si>
  <si>
    <t>ايراد عملكرد جلو آمپر با ايراد (كيلومتربالا) مهندس عابد رسانده شد</t>
  </si>
  <si>
    <t>ايراد عدم عملكرد نمايشگرديجتالي</t>
  </si>
  <si>
    <t>1403/11/01</t>
  </si>
  <si>
    <t>ايراد عملكردنادرست نشتي نور نگيني هشدار و عقربه كيلومتر شمار برروي 60 ميباشد</t>
  </si>
  <si>
    <t>عملكرد سيستم HASدر حالت دنده عقب به رويت مهندس عابد رسانده شد</t>
  </si>
  <si>
    <t>طي بررسي بعمل آمده ايراد عملكرد بك لايت سرعت سنج رويت شد</t>
  </si>
  <si>
    <t>ايراد عملكرد جلو آمپر با ايراد(عملكرد نادرست صفحه نمايشگر سگمنت ناقص)  رويت شد</t>
  </si>
  <si>
    <t>ايراد عملكرد  NBCM (عدم عملكرد آلارم دزدگير ) رويت شد</t>
  </si>
  <si>
    <t>پيرو مراجعه به سالن مونتاژ 4 در حضور كيفيت سالن و سرگروه شيفت مربوطه، 1 مورد  ايراد  عملكرد نادرست  قطعه نمايشگر ديجيتاليMFD (روشن نشدن كمپرسور كولر)  رويت گرديد. قطعه از نظر ظاهري جهت اطمينان از عدم آسيب ديدگي يا ضرب خوردگي بررسي شد كه مغايرتي وجود نداشت و لذا با تعويض قطعه ايراددار با قطعه سالم ايراد مرتفع گرديد.  تاريخ توليد قطعه: 1403/09/12 با ليبل ليبل gf5</t>
  </si>
  <si>
    <t>1403/11/06</t>
  </si>
  <si>
    <t>طي بررسي بعمل آمده ايراد عملكرد چراغ جلو راست نور پايين يك نمونه رويت شد</t>
  </si>
  <si>
    <t>1403/11/08</t>
  </si>
  <si>
    <t>ايراد عدم جذب پشت امپر كه طبق بررسي هاي انجام گرفته ايراد فقط در سورس سازه پويش رويت مي گردد به طوريكه در پشت امپر كروز ايراد عدم جذب مشاهده نمي شود</t>
  </si>
  <si>
    <t>YG20240320</t>
  </si>
  <si>
    <t>1403/11/05</t>
  </si>
  <si>
    <t>عدم عملکرد عقربه های بنزین ،دمای آب و دور موتور</t>
  </si>
  <si>
    <t>محصول جهت بررسی تحویل مهندس غیاثوند گردید</t>
  </si>
  <si>
    <t>1403/11/14</t>
  </si>
  <si>
    <t>ايراد صداي اضافه درهنگام سويئچ باز يك مورد رويت وكليم گرديد.</t>
  </si>
  <si>
    <t>صدای اضافه</t>
  </si>
  <si>
    <t>1403/11/15</t>
  </si>
  <si>
    <t>ايراد عملكرد  NBCM ( عدم عملكرد ريموت  ) رويت شد</t>
  </si>
  <si>
    <t>1403/11/16</t>
  </si>
  <si>
    <t xml:space="preserve">پس از بررسی در واحد تعمیرات و تست با اهم متر مشخص گردید یکی از پایه های کانکتور 14 پین شل بوده و پس از بررسی دقیق مشخص گردید که پایه از وسط جدا شده و اتصال ندارد </t>
  </si>
  <si>
    <t>احتمالا ریشه ایراد به کیفیت پین کانکتور برمیگردد.</t>
  </si>
  <si>
    <t>RU8T1F13073111</t>
  </si>
  <si>
    <t>کانکتور 14 پین</t>
  </si>
  <si>
    <t xml:space="preserve">عدم اتصال پایه کانکتور 14 پین </t>
  </si>
  <si>
    <t>1403/11/17</t>
  </si>
  <si>
    <t>گیر عقربه مشاهده گردید قطعه تحویل مهندس اصغرنیا</t>
  </si>
  <si>
    <t>نشتی نور موردی مشاهده نگردید</t>
  </si>
  <si>
    <t>1403/11/07</t>
  </si>
  <si>
    <t>محصول جهت بررسی تحویل مهندس اصغرنیا گردید</t>
  </si>
  <si>
    <t>1403/11/23</t>
  </si>
  <si>
    <t>ايراد عملكرد جلو آمپر با ايراد هنگام ترمز زدن قطعي رويت شد</t>
  </si>
  <si>
    <t>1403/11/27</t>
  </si>
  <si>
    <t>ايرادعملكردي آمپر(عدم عملكرد صفحه نمايشگر )يك نمونه رويت شد</t>
  </si>
  <si>
    <t>ايرادعملكردي آمپر(اتصالي )سويچ خودرو با قطع  و وصل كردن جلوآمپريك نمونه رويت شد</t>
  </si>
  <si>
    <t>ايرادعملكردي آمپر(قطعي پشت آمپر هنگام استارت )يك نمونه رويت شد</t>
  </si>
  <si>
    <t>ايرادعملكردي آمپر(آلارم راهنما و چراغها قطع)يك نمونه رويت شد</t>
  </si>
  <si>
    <t>1403/11/29</t>
  </si>
  <si>
    <t>ايراد پليسه گيري نا مناسب و موج دار بودن بدنه قاب كليد شيشه بالابر ****طرقي</t>
  </si>
  <si>
    <t>1403/11/28</t>
  </si>
  <si>
    <t>1403/12/01</t>
  </si>
  <si>
    <t>ايراد خرابي نمايشگر جلو آمپر. ايراد به روئيت نماينده ساپكو رسيد.</t>
  </si>
  <si>
    <t>1403/12/02</t>
  </si>
  <si>
    <t>ايراد ظاهري آمپر(وجود آشغال در آمپر دور موتور )يك نمونه رويت شد تكرار ايراد وشكست گارانتي</t>
  </si>
  <si>
    <t>تعداد اخطار کیفی</t>
  </si>
  <si>
    <t>ماه</t>
  </si>
  <si>
    <t>وضعیت</t>
  </si>
  <si>
    <t>بسته شده</t>
  </si>
  <si>
    <t>عدم دریافت قطعه</t>
  </si>
  <si>
    <t>در حال بررسی</t>
  </si>
  <si>
    <t>تاریخ تست</t>
  </si>
  <si>
    <t>تاریخ تست خودرویی</t>
  </si>
  <si>
    <t>تاریخ تست پیشنهادی</t>
  </si>
  <si>
    <t>بررسی اول</t>
  </si>
  <si>
    <t>بررسی دوم</t>
  </si>
  <si>
    <t>بررسی سوم</t>
  </si>
  <si>
    <t xml:space="preserve">دلیل ایجاد ایراد </t>
  </si>
  <si>
    <t xml:space="preserve">ایراد در مواد اولیه </t>
  </si>
  <si>
    <t>عدم عملکرد صحیح صفحه گرمایشی</t>
  </si>
  <si>
    <t>مسدود بودن بخشی از سوراخ استنسیل و کامل نشدن مرحله چاپ قلع</t>
  </si>
  <si>
    <t>بر اثر جابجایی</t>
  </si>
  <si>
    <t>عملکرد نادرست تجهیز وان قلع</t>
  </si>
  <si>
    <t>جایگذاری نادرست pcb در فیکسچر</t>
  </si>
  <si>
    <t>ارسال اشتباه توسط واحد R&amp;D</t>
  </si>
  <si>
    <t>ارسال ورژن تحقیقاتی توسط واحد R&amp;D</t>
  </si>
  <si>
    <t>عدم هماهنگی جهت ارسال و استفاده از ورژن تحقیقاتی</t>
  </si>
  <si>
    <t>موردی مشاهده نشد</t>
  </si>
  <si>
    <t>عدم دقت اپراتور تعمیرات SMD در رفع ایراد</t>
  </si>
  <si>
    <t>تغییرتنظیمات توسط مشتری</t>
  </si>
  <si>
    <t>انحنا در عقربه</t>
  </si>
  <si>
    <t>عدم جایگذاری مناسب عقربه در فیکسچر</t>
  </si>
  <si>
    <t>عدم تامین بازر</t>
  </si>
  <si>
    <t>مونتاژ اشتباه کانکتور 40 پین</t>
  </si>
  <si>
    <t>پلیسه لایت باکس</t>
  </si>
  <si>
    <t>کمبود قلع کریستال</t>
  </si>
  <si>
    <t>ایراد در یکی از زون های کوره SMD</t>
  </si>
  <si>
    <t>عملکرد نادرست سنسور مگزین لودر</t>
  </si>
  <si>
    <t xml:space="preserve"> LED بر اثر ضربه شکسته(بعد از بسته بندی)</t>
  </si>
  <si>
    <t>جایجایی</t>
  </si>
  <si>
    <t>نامشخص</t>
  </si>
  <si>
    <t>قلع اضافه بر روی مقاومت</t>
  </si>
  <si>
    <t>ارسال قطعه کلیم به علت نامشخص بودن ایراد</t>
  </si>
  <si>
    <t>عدم دقت اپراتور</t>
  </si>
  <si>
    <t>خرابي زه كرومي</t>
  </si>
  <si>
    <t>کمپرسور کولر</t>
  </si>
  <si>
    <t>سختی مونتاژ PCB</t>
  </si>
  <si>
    <t>1403/12/05</t>
  </si>
  <si>
    <t>ايراد عدم عملكرد تغيير جهت آيينه جانبي به دليل معيوب بودن كليد مجموعه دستگيره درب جلو چپ.</t>
  </si>
  <si>
    <t>1403/12/08</t>
  </si>
  <si>
    <t>ايراد عملكردي آمپر(نشتي نور نگيني چراغ باطري )يك نمونه رويت شد</t>
  </si>
  <si>
    <t>1403/12/11</t>
  </si>
  <si>
    <t>ايراد عملكردي  nbcm (يكسره روشن ماندن چراغ دنده دعقب درحالت سوئيچ باز) رويت شد</t>
  </si>
  <si>
    <t>ايراد عملكردي آمپر(عقربه بنزين عملكرد نادرست )يك نمونه رويت شد</t>
  </si>
  <si>
    <t>1403/12/13</t>
  </si>
  <si>
    <t>ايراد عملكردي آمپر(روشن نشدن نگيني نور بالا و نگيني ترمزدستي  )يك نمونه رويت شد</t>
  </si>
  <si>
    <t>1403/12/16</t>
  </si>
  <si>
    <t>ايراد عملكردي  Nbcm ( برف پاكن جلو يكسره درحالت سوئيچ باز ) رويت شد</t>
  </si>
  <si>
    <t>1403/12/14</t>
  </si>
  <si>
    <t>ايراد عملكردي  Nbcm ( مه شكن عقب يكسره در حالت سوئيچ باز) رويت شد</t>
  </si>
  <si>
    <t>ايراد عملكرد كامل آمپر يك نمونه رويت شد</t>
  </si>
  <si>
    <t>ايراد عملكردي آمپر(عملكرد متغير عدد دماسنج  )يك نمونه رويت شد</t>
  </si>
  <si>
    <t>ايراد عملكردي  Nbcm (روشن ماندن نگيني باطري پشت آمپر) رويت شد</t>
  </si>
  <si>
    <t>پایه BTS بالا</t>
  </si>
  <si>
    <t>فلکس زیر Icمیکرو</t>
  </si>
  <si>
    <t>1404/01/16</t>
  </si>
  <si>
    <t>1404/01/19</t>
  </si>
  <si>
    <t>1404/01/23</t>
  </si>
  <si>
    <t>ايراد عدم عملكرد نمايشگر ديجيتال جلو امپر.</t>
  </si>
  <si>
    <t>ايراد عملكردي آمپر(عدم عملكرد كامل )يك نمونه رويت شد</t>
  </si>
  <si>
    <t>ايراد عملكردي آمپر(قرار گيري نادرست عقربه دور موتور هنگام خاموش كردن خودرو  )يك نمونه رويت شد</t>
  </si>
  <si>
    <t>ايراد عملكردي آمپر(عدم عملكرد كولر)يك نمونه رويت شد</t>
  </si>
  <si>
    <t>ايراد عملكردي آمپر(عدم عملكردكامل )يك نمونه رويت شد</t>
  </si>
  <si>
    <t>قطعه گذاری دستی</t>
  </si>
  <si>
    <t>سال</t>
  </si>
  <si>
    <t>1403</t>
  </si>
  <si>
    <t>1404</t>
  </si>
  <si>
    <t>Row Labels</t>
  </si>
  <si>
    <t>Grand Total</t>
  </si>
  <si>
    <t>Column Labels</t>
  </si>
  <si>
    <t>Sum of تعداد اخطار کیفی</t>
  </si>
  <si>
    <t>YM</t>
  </si>
  <si>
    <t>1403/03</t>
  </si>
  <si>
    <t>1403/04</t>
  </si>
  <si>
    <t>1403/05</t>
  </si>
  <si>
    <t>1403/06</t>
  </si>
  <si>
    <t>1403/07</t>
  </si>
  <si>
    <t>1403/08</t>
  </si>
  <si>
    <t>1403/09</t>
  </si>
  <si>
    <t>1403/10</t>
  </si>
  <si>
    <t>1403/11</t>
  </si>
  <si>
    <t>1403/12</t>
  </si>
  <si>
    <t>Max of PPM</t>
  </si>
  <si>
    <t>1403/01</t>
  </si>
  <si>
    <t>1403/02</t>
  </si>
  <si>
    <t>امتیاز عملکرد</t>
  </si>
  <si>
    <t>خازن بر اثر جایگذاری نامناسب برد و یا جابجایی شکسته</t>
  </si>
  <si>
    <t xml:space="preserve">نمره عملکرد </t>
  </si>
  <si>
    <t>Column1</t>
  </si>
  <si>
    <t xml:space="preserve">نمره </t>
  </si>
  <si>
    <t>IK00019080</t>
  </si>
  <si>
    <t>IK00761680</t>
  </si>
  <si>
    <t>IK00691980</t>
  </si>
  <si>
    <t>IK00780680</t>
  </si>
  <si>
    <t>IK00123280</t>
  </si>
  <si>
    <t>IK01626580</t>
  </si>
  <si>
    <t>IK00415680</t>
  </si>
  <si>
    <t>IK00719380</t>
  </si>
  <si>
    <t>IK00421780</t>
  </si>
  <si>
    <t>IK00275380</t>
  </si>
  <si>
    <t>YG20238381</t>
  </si>
  <si>
    <t>YG20238393</t>
  </si>
  <si>
    <t>YG20238344</t>
  </si>
  <si>
    <t>YG20238398</t>
  </si>
  <si>
    <t>YG20238343</t>
  </si>
  <si>
    <t>YG20238345</t>
  </si>
  <si>
    <t>IK00879180</t>
  </si>
  <si>
    <t>YG20238404</t>
  </si>
  <si>
    <t>YG20238399</t>
  </si>
  <si>
    <t>YG20238401</t>
  </si>
  <si>
    <t>IK01597080</t>
  </si>
  <si>
    <t>IK003290DG</t>
  </si>
  <si>
    <t>IK003294DG</t>
  </si>
  <si>
    <t>کلید شیشه بالابر جلو چپ سورن</t>
  </si>
  <si>
    <t>کلید شیشه بالابر عقب راست سورن</t>
  </si>
  <si>
    <t>کلید شیشه بالابر عقب چپ سورن</t>
  </si>
  <si>
    <t>کلید شیشه بالابر جلو چپ دنا</t>
  </si>
  <si>
    <t>کلید شیشه بالابرعقب دنا</t>
  </si>
  <si>
    <t>کلید شیشه بالابرجلو راست دنا</t>
  </si>
  <si>
    <t>جلو آمپر دنا معمولی</t>
  </si>
  <si>
    <t>جلو آمپر دنا TC</t>
  </si>
  <si>
    <t>جلو آمپر دنا اتوماتیک</t>
  </si>
  <si>
    <t>جلو آمپر دنا ST</t>
  </si>
  <si>
    <t>جلو آمپر تارا دستی</t>
  </si>
  <si>
    <t>جلو آمپر تارا اتوماتیک</t>
  </si>
  <si>
    <t>جلو آمپر207  معمولی85 گانه</t>
  </si>
  <si>
    <t>جلو آمپر207 معمولی</t>
  </si>
  <si>
    <t>جلو آمپر207 اتوماتیک85 گانه</t>
  </si>
  <si>
    <t>جلو آمپر207 اتوماتیک</t>
  </si>
  <si>
    <t>جلو آمپرSOREN TURBO TC SMY</t>
  </si>
  <si>
    <t>جلو آمپرSOREN DIEZEL</t>
  </si>
  <si>
    <t>جلو آمپرSOREN NA</t>
  </si>
  <si>
    <t>جلو آمپرSOREN TC 85 گانه</t>
  </si>
  <si>
    <t>جلو آمپرSOREN</t>
  </si>
  <si>
    <t>جلو آمپر206</t>
  </si>
  <si>
    <t>جلو آمپرRUNNA</t>
  </si>
  <si>
    <t>جلو آمپرSAMANDMUX</t>
  </si>
  <si>
    <t>جلو آمپرSAMAND LX</t>
  </si>
  <si>
    <t>جلو آمپرSAMAND HT</t>
  </si>
  <si>
    <t>جلو آمپر"2AB 405 14</t>
  </si>
  <si>
    <t>جلو آمپرPARS 14</t>
  </si>
  <si>
    <t>جلو آمپر405 15</t>
  </si>
  <si>
    <t>جلو آمپرPARS15"</t>
  </si>
  <si>
    <t>جلو آمپرPARS AL4</t>
  </si>
  <si>
    <t>جلو آمپر PARS کهربایی</t>
  </si>
  <si>
    <t>جلو آمپرPU1</t>
  </si>
  <si>
    <t>جلو آمپر PARS 14" SA</t>
  </si>
  <si>
    <t>جلو آمپر PARS 15" SA</t>
  </si>
  <si>
    <t>NBCM DENA SBR</t>
  </si>
  <si>
    <t>IK02628880</t>
  </si>
  <si>
    <t>خانواده قطعات</t>
  </si>
  <si>
    <t>کلید شیشه بالابر</t>
  </si>
  <si>
    <t>SBM 207</t>
  </si>
  <si>
    <t>NOD</t>
  </si>
  <si>
    <t>SBM ARISUN</t>
  </si>
  <si>
    <t>IK01298280</t>
  </si>
  <si>
    <t>1404/01/25</t>
  </si>
  <si>
    <t>1404/01/28</t>
  </si>
  <si>
    <t>1404/01/26</t>
  </si>
  <si>
    <t>1404/01/27</t>
  </si>
  <si>
    <t>1404/02/01</t>
  </si>
  <si>
    <t>1404/02/02</t>
  </si>
  <si>
    <t>عدم عملكرد كليد اتوفد آيينه جمع كن مجموعه دستگيره مچي درب جلو چپ_ايراد به روئيت نماينده ساپكو رسيده است.</t>
  </si>
  <si>
    <t>ايراد عملكردي آمپر(LCD عملكرد اعداد ناقص )يك نمونه رويت شد</t>
  </si>
  <si>
    <t>ايراد عملكردي آمپر(عملكردنگينيESP )يك نمونه رويت شد</t>
  </si>
  <si>
    <t>ايراد موج دار بودن و زائده اضافي شيشه بالابر غقب چپ كه به رويت نماينده سازنده آقاي رامندي رسيد</t>
  </si>
  <si>
    <t>ايراد كسري زه دور آمپر نشانگر سطح دماي آب. ايراد به رو ئيت نماينده ساپكو رسيد.</t>
  </si>
  <si>
    <t>ايراد عملكردي  NBCM (عملكرد نادرست برفپاكن جلو دسته برفپاكن تك پايين 4 تا ميزند) يك مورد رويت شد.</t>
  </si>
  <si>
    <t>ايراد عملكردي  NBCM (عدم عملكرد چراغ خطر و نمره عقب راست) يك مورد رويت شد</t>
  </si>
  <si>
    <t>ايراد ليبل آمپر(همخواني ليبل مشخصات و رديابي ) رويت شد</t>
  </si>
  <si>
    <t>ایراد ظاهری</t>
  </si>
  <si>
    <t>عملکرد نگینی(لوگو)</t>
  </si>
  <si>
    <t>ایراد در لیبل</t>
  </si>
  <si>
    <t>عدم عملكرد قفل مركزي/ریموت</t>
  </si>
  <si>
    <t>خطاي مجازي</t>
  </si>
  <si>
    <t>دائم روشن ماندن ادوات برقی</t>
  </si>
  <si>
    <t xml:space="preserve"> صداي اضافه و قطع و وصل پشت آمپر</t>
  </si>
  <si>
    <t>عملکرد یکسره ادوات برقی</t>
  </si>
  <si>
    <t>کنده نشدن برچسب LCD</t>
  </si>
  <si>
    <t>قطعه شکسته(خازن SMD)</t>
  </si>
  <si>
    <t>اصلاح قالب قاب پلیمری</t>
  </si>
  <si>
    <t>سختی مونتاژ PCB در قاب</t>
  </si>
  <si>
    <t>چاپ دستی لیبل</t>
  </si>
  <si>
    <t xml:space="preserve">درج اشتباه شماره فنی در لیبل چاپ شده </t>
  </si>
  <si>
    <t>ایراد در ریبون پرینتر</t>
  </si>
  <si>
    <t>چاپ نامناسب لیبل</t>
  </si>
  <si>
    <t>اشتباه اپراتور خط مشتری</t>
  </si>
  <si>
    <t>پلیسه قاب</t>
  </si>
  <si>
    <t>قالب قاب پلیمری</t>
  </si>
  <si>
    <t>01</t>
  </si>
  <si>
    <t>02</t>
  </si>
  <si>
    <t>03</t>
  </si>
  <si>
    <t>04</t>
  </si>
  <si>
    <t>05</t>
  </si>
  <si>
    <t>06</t>
  </si>
  <si>
    <t>07</t>
  </si>
  <si>
    <t>08</t>
  </si>
  <si>
    <t>09</t>
  </si>
  <si>
    <t>10</t>
  </si>
  <si>
    <t>11</t>
  </si>
  <si>
    <t>12</t>
  </si>
  <si>
    <t>LCDمعیوب</t>
  </si>
  <si>
    <t>درحال بررسی</t>
  </si>
  <si>
    <t>عدم دقت اپراتور شارژ جلو آمپر</t>
  </si>
  <si>
    <t>طاهرپور</t>
  </si>
  <si>
    <t>کمبود قلع خازن ورودی رگلاتور</t>
  </si>
  <si>
    <t>بصورت تصادفی اتصال برقرار می شد</t>
  </si>
  <si>
    <t>شیفت IC1059</t>
  </si>
  <si>
    <t>قطعه گذاری SMD</t>
  </si>
  <si>
    <t>1403/12/21</t>
  </si>
  <si>
    <t>در خواست تست خودرو</t>
  </si>
  <si>
    <t>قلع کاری دستی ترانزیستور</t>
  </si>
  <si>
    <t xml:space="preserve">با کالیبره مجدد ایراد برطرف شد </t>
  </si>
  <si>
    <t>ایراد نازل پاشش قلکس</t>
  </si>
  <si>
    <t>1403/12/25</t>
  </si>
  <si>
    <t>ايراد عملكردي  Nbcm ( عدم تعريف ريموت قفل مركزي) رويت شد</t>
  </si>
  <si>
    <t>1404/01/24</t>
  </si>
  <si>
    <t>قطعه RF ماژول معیوبCY76</t>
  </si>
  <si>
    <t>تستر EOL محصول OK ولی در ICT NOK</t>
  </si>
  <si>
    <t>نداشتن قلع یکی از پایه های 40 پین</t>
  </si>
  <si>
    <t>ستاپ اولیه وان</t>
  </si>
  <si>
    <t>نانکلی،قلی نژاد</t>
  </si>
  <si>
    <t>1403/12/22</t>
  </si>
  <si>
    <t>ايراد عملكردي آمپر(نشتي نور نگيني راهنما چپ و راست )1 نمونه رويت شد</t>
  </si>
  <si>
    <t>LED استفاده شده در محصول جلو آمپر تارا دونوع می باشد که یکی پرنورتر می باشد</t>
  </si>
  <si>
    <t>ايراد عملكردي آمپر(عملكرد نگيني نور بالا و عملكردآمپر با تاخير  )3 نمونه رويت شد</t>
  </si>
  <si>
    <t>1403/12/20</t>
  </si>
  <si>
    <t>دیود مسیر باطری سوخته</t>
  </si>
  <si>
    <t>حسن پور</t>
  </si>
  <si>
    <t>ايراد عملكرد صداي آلارام هشدار يك مورد رويت گرديد</t>
  </si>
  <si>
    <t>بازر معیوب</t>
  </si>
  <si>
    <t>پاسخ با ایراد مشابه(عدم دریافت قطعه)</t>
  </si>
  <si>
    <t>مواردي كه در گزارش ايتراك درخصوص نود NBCM مطرح شده است تماما  مربوط به نرم افزار نود NBCM نمي باشد بعضا موارد به Spec نرم افزاري تعريف شده است، بر مي گردد. درضمن اين ايرادات Critical نيستند، طي برنامه توسعه نرم افزار كه قبلا با ساپكو و NPD هماهنگ شده است مواردي كه در گزارش ايتراك آمده است نياز به اصلاح دارد انجام خواهد شد.</t>
  </si>
  <si>
    <t>ایراد مورد تایید نیست</t>
  </si>
  <si>
    <t>عدم اتصال صحيح پايه ic</t>
  </si>
  <si>
    <t>استفاده از استنسيل شركت فراكلون</t>
  </si>
  <si>
    <t>قطعه شنت سوخته</t>
  </si>
  <si>
    <t>يش از 4000000 از قطعه شنت در محصول NBCM استفاده شده و با توجه به سوابق كيفي هيچ مورد خرابي رويت نشده و با توجه به اينكه 2 عدد شنت همزمان كه در PCB به صورت موازي قرار دارد سوخته است و به احتمال زياد عوامل خارجي باعث ورود جريان بيش از 40 آمنپر در PCB باعث سوختگي شده است .با توجه به شواهد و سوابق كنترل قطعه در تستر كنترل نهايي محصول در زمان ارسال داراي عملكرد بوده است.</t>
  </si>
  <si>
    <t>عدم اتصال ديود به پد</t>
  </si>
  <si>
    <t>عدم مونتاژ صحيح قطعه توسط دستگاه MOUNTING</t>
  </si>
  <si>
    <t xml:space="preserve">عدم مونتاژ صحيح قطعه توسط دستگاه MOUNTING	</t>
  </si>
  <si>
    <t>ا توجه به LOG برداري انجام شده ايراد مربوط به PEPS مي باشد كه مقرر شد واحد NPD ايراد را به سازنده PEPS اعلام نمايند</t>
  </si>
  <si>
    <t>گير مكانيكي استپرموتور</t>
  </si>
  <si>
    <t>نقص قالب گيري چرخ دنده استپرموتور در فرايند توليد تامين كننده به علت ماهيت تصادفي ايراد قطعه در تست EOL تشخيص داده نشد</t>
  </si>
  <si>
    <t>قطعه معیوب</t>
  </si>
  <si>
    <t>عدم اتصال صحیح پایه(IC)</t>
  </si>
  <si>
    <t>IC BTS</t>
  </si>
  <si>
    <t xml:space="preserve"> دیود</t>
  </si>
  <si>
    <t>کریستال</t>
  </si>
  <si>
    <t xml:space="preserve">ماژول </t>
  </si>
  <si>
    <t>استپر موتور</t>
  </si>
  <si>
    <t>شنت</t>
  </si>
  <si>
    <t>رینگ</t>
  </si>
  <si>
    <t>خارهای محصول شکسته و آثاری مربوط به باز شدن محصول وجود داردآثار ضربه که باعث کج شدن دیود وجود دارد</t>
  </si>
  <si>
    <t>شکستگی مقاومت بعضی قطعات بصورت دستی شارژ شده است</t>
  </si>
  <si>
    <t>مقاومت</t>
  </si>
  <si>
    <t>قطعه شکسته</t>
  </si>
  <si>
    <t>قلع اضافه</t>
  </si>
  <si>
    <t xml:space="preserve">قلع سرد </t>
  </si>
  <si>
    <t>خم شدن پین کانکتور و بیرون نیامدن پایه و عدم اتصال صحیح پین به علت فشار پنوماتیکی در زمان تست محصول Okشده</t>
  </si>
  <si>
    <t xml:space="preserve">کمبود قلع </t>
  </si>
  <si>
    <t>کمبود قلع پایه LED به علت نداشتن لیبل تعمیرات اپراتور خاطی قابل تشخیص نیست</t>
  </si>
  <si>
    <t>کنده شدن قطعه</t>
  </si>
  <si>
    <t>ترانزیستور</t>
  </si>
  <si>
    <t>خازن</t>
  </si>
  <si>
    <t>IC میکرو</t>
  </si>
  <si>
    <t xml:space="preserve">مقاومت </t>
  </si>
  <si>
    <t>دیود</t>
  </si>
  <si>
    <t>پایه بالا</t>
  </si>
  <si>
    <t>بازر</t>
  </si>
  <si>
    <t>کانکتور 18 پین</t>
  </si>
  <si>
    <t>اتصالی</t>
  </si>
  <si>
    <t>قاب</t>
  </si>
  <si>
    <t>لایت باکس</t>
  </si>
  <si>
    <t>پلیسه</t>
  </si>
  <si>
    <t>شکستگی باعث قطعی مسیر کلید فلاشر گردیده است گير كردن PCB در مكانيزم آسانسوري magazine on loader
(احتمالا قطعه در زمان تست عملکرد داشته است)</t>
  </si>
  <si>
    <t>برد</t>
  </si>
  <si>
    <t>کانکتور 40 پین</t>
  </si>
  <si>
    <t>چفت نشدن خار</t>
  </si>
  <si>
    <t xml:space="preserve">نبودقطعه </t>
  </si>
  <si>
    <t xml:space="preserve">شیفت قطعه </t>
  </si>
  <si>
    <t>IC1059</t>
  </si>
  <si>
    <t>با توجه به مونتاژ قطعه بر روی خودرو ، تغییر وضعییت دنده در حالت های مختلف P,N,D,R در صفحه نمایش جلوآمپر مشاهده نمی شود که با تغییر در آیتم Auto Gearbox از حالت Not available به حالت available ایراد برطرف و  وضعییت دنده در حالت های مختلف در صفحه نمایش جلوآمپر قابل مشاهده می باشد</t>
  </si>
  <si>
    <t>تنظیمات اشتباه در خط مشتری</t>
  </si>
  <si>
    <t>تنظیمات نود بر روی تارا دستی بوده ولی بر روی تارا اتومات بسته شده و به علت دستی بودن گیربکس ایراد ایجاد گردیده</t>
  </si>
  <si>
    <t>آبكاري زه كرومي</t>
  </si>
  <si>
    <t>لقی زه کرومی</t>
  </si>
  <si>
    <t>بزل</t>
  </si>
  <si>
    <t>بعد از دمونتاژ و مونتاژ بازر ایراد برطرف گردیدبرد جهان الکترونیک</t>
  </si>
  <si>
    <t>ماهیانه</t>
  </si>
  <si>
    <t>IK02625280</t>
  </si>
  <si>
    <t>جلو آمپر دنا SBR</t>
  </si>
  <si>
    <t>1404/02/05</t>
  </si>
  <si>
    <t>1404/02/08</t>
  </si>
  <si>
    <t>1404/02/17</t>
  </si>
  <si>
    <t>ايرادعملكردآمپر(قطعي صداي هشدار ) رويت شد</t>
  </si>
  <si>
    <t>ايرادي عملكردي جلوآمپر(عدم عملكرد كامل آمپر ) رويت شد</t>
  </si>
  <si>
    <t>ايراد عملكرد نادرست NBCM(گير داشتن يا پله اي ) در آديت به رويت رسيد</t>
  </si>
  <si>
    <t>عدم عملكرد كامل</t>
  </si>
  <si>
    <t>گير داشتن يا پله اي</t>
  </si>
  <si>
    <t>1404/02/28</t>
  </si>
  <si>
    <t>1404/02/29</t>
  </si>
  <si>
    <t>موردی مشاهده نگردید با بررسی ممسیر برف پاک کن تیم به این نتیجه رسید که در صورت کانکت نشدن درست کانکتور 40 پین سفید (دسته سیم)ایراد رویت میگردد. با شبیه سازی موضوع ایراد رویت گردید</t>
  </si>
  <si>
    <t>قطعه سالم</t>
  </si>
  <si>
    <t>ایراد مشتری</t>
  </si>
  <si>
    <t>1404/02/23</t>
  </si>
  <si>
    <t>1404/02/24</t>
  </si>
  <si>
    <t>1404/02/27</t>
  </si>
  <si>
    <t>ايراد عدم عملكرد كليد شيشه بالابرعقب خودرو دنا ، مرتبط به شركت سازه پويش بطوريكه حين نصب كانكتور به سوكت ،شيشه به سمت بالا مي رود و عملكرد به سمت پايين ندارد</t>
  </si>
  <si>
    <t>ايراد عدم عملكرد كامل جلو آمپر به رويت آقاي سبحاني رسانده شد</t>
  </si>
  <si>
    <t>ايراد سختي مونتاژ  NBCM (سختي مونتاژ جانرفتن يا كليك نكردن كانكتور) رويت شد</t>
  </si>
  <si>
    <t>ايرادي عملكردي جلوآمپر(عدم نمايش مقدار بنزين مثلث صفحه ديجيتال) رويت شد</t>
  </si>
  <si>
    <t>عملکرد ناقص</t>
  </si>
  <si>
    <t>عدم عملكرد ريموت  2.روشن نشدن خودرو_طي بررسي هاي صورت گرفته منشأ ايراد مشاهده شده در سالن  مونتاژ از نقص كيفي قطعه CBM مي باشد.ايراد به روئيت نماينده ساپكو رسيده است.</t>
  </si>
  <si>
    <t>بازر تحویل مهندس رحمانی پور</t>
  </si>
  <si>
    <t>اشتباه اپراتور بسته بندی در حین نصب بارکد</t>
  </si>
  <si>
    <t>نصب اشتباه بارکد</t>
  </si>
  <si>
    <t>1404/03/03</t>
  </si>
  <si>
    <t>1404/03/04</t>
  </si>
  <si>
    <t>1404/03/13</t>
  </si>
  <si>
    <t>ايرادي عملكردي جلوآمپر(عدم عملكرد نگيني باطري) رويت شد</t>
  </si>
  <si>
    <t>ايراد سختي مونتاژ  NBCM (عدم نصب سوكت 14 پين جا نرفتن) رويت شد</t>
  </si>
  <si>
    <t>عملكرد نادرست كليد آينه تاشو در مجموعه كليد شيشه بالابر جلو چپ - خاكستري تيره- خودرو دنا؛ مرتبط با  شركت سازه پويش(بطوريكه تزريق نامناسب روي بزل حد فاصل تا ماژول وجود داشته و با نمونه هاي كنار خط متفاوت مي باشد كه باعث شده ماژول تنظيم آينه و فولدآنفولد به سختي عملكرد داشته باشد)</t>
  </si>
  <si>
    <t>عملکرد ناقص تنظیم آینه</t>
  </si>
  <si>
    <t>1404/02/20</t>
  </si>
  <si>
    <t>1404/02/30</t>
  </si>
  <si>
    <t>همراستا نبودن پین کانکتور (داخلی سازی شده)</t>
  </si>
  <si>
    <t>بی دقتی اپراتور در زمان مونتاژ پین کانکتور</t>
  </si>
  <si>
    <t>1404/03/10</t>
  </si>
  <si>
    <t>ايرادي ظاهري عملكردي جلوآمپر(وجود اشغال در آمپر كيلومتر شمار) رويت شد</t>
  </si>
  <si>
    <t>1404/03/20</t>
  </si>
  <si>
    <t>1404/03/22</t>
  </si>
  <si>
    <t>ايرادي عملكردي جلوآمپر(عدم عملكرد صفحه ديجيتال) به همراه كارشناس ساپكو رويت شد</t>
  </si>
  <si>
    <t>ايراد عملكردي NBCM  عدم عملكرد ريموت كنترل يك نمونه رويت شد قطعه تعويض و كليم گرديد.</t>
  </si>
  <si>
    <t>ايراد عملكردي NBCM  عدم عملكرد چراغ نگيني فلاشر يك نمونه رويت شد</t>
  </si>
  <si>
    <t>ايراد عملكرد آمپر (اتصالي و قطعي آلارم هشدار دهندها) به رويت آقاي سبحاني رسانده شد</t>
  </si>
  <si>
    <t>ايرادي عملكردي جلوآمپر(روشن نشدن خودرو ) به رويت كارشناس ساپكو رسانده شد</t>
  </si>
  <si>
    <t>دفرمگي سطح ، وجود پليسه اضافي و پليسه گيري نامناسب و تيز بودن لبه پايين سطح قاب پنل شيشه بالابر درب جلو راست و چپ(ايراد پرتكرار)</t>
  </si>
  <si>
    <t>1404/01</t>
  </si>
  <si>
    <t>1404/02</t>
  </si>
  <si>
    <t>1404/04/10</t>
  </si>
  <si>
    <t>اتصالی دیود مسیر باتری که باعث سوختن دیود دوم گردیده</t>
  </si>
  <si>
    <t>اتصالی دیود</t>
  </si>
  <si>
    <t>عدم اتصال قطعه BTSبه پد</t>
  </si>
  <si>
    <t>ايرادي عملكردي جلوآمپر(عدم عملكرد نورزمينه پشت آمپرسرعت) رويت شد</t>
  </si>
  <si>
    <t>1404/04/09</t>
  </si>
  <si>
    <t>1404/04/25</t>
  </si>
  <si>
    <t>نداشتن قلع پایه بازر</t>
  </si>
  <si>
    <t xml:space="preserve">نبود قلع </t>
  </si>
  <si>
    <t>معیوب بودن قطعه ماژول</t>
  </si>
  <si>
    <t>تقی پور،نوری</t>
  </si>
  <si>
    <t>نوشین خادمی</t>
  </si>
  <si>
    <t>ايراد عملكردي SBCM  اتصالي بالابرها جلو و قفل مركزي و چراغ سقف چشمك ميزند يك نمونه رويت شد</t>
  </si>
  <si>
    <t>ايراد قطعي جلو آمپر بعد روشن ماندن خودرو يك مورد با ايراد برق پشت آمپر قطع ميشود</t>
  </si>
  <si>
    <t>ايراد عملكرد نادرست نمايشگر ديجيتال بر روي داشبورد.</t>
  </si>
  <si>
    <t>وجود صداي اضافي كليد شاخص تنظيم جلو آمپر (صداي اضافي كليد شاخص تنظيم جلو آمپر در تست جاده)   ايراد پرتكرار - ايراد به رويت اقاي كشاورز رسيده است.</t>
  </si>
  <si>
    <t>ايراد عملكردي NBCM  اتصالي(عدم عملكرد بازر هنگام نصب كمربند ايمني آلارم هشدارسنسور و چراغ دنده عقب ) يك نمونه رويت شد</t>
  </si>
  <si>
    <t>ايراد عدم عملكرد كليد قطع كن شيشه بالابرهاي درب هاي عقب بر روي پنل شيشه بالابر جلو چپ</t>
  </si>
  <si>
    <t>ايراد عدم عملكرد صفحه ديجيتال (چراغ هاي هشدار ) بر روي جلو آمپر در خودرو سورن</t>
  </si>
  <si>
    <t>1404/04/17</t>
  </si>
  <si>
    <t>1404/04/18</t>
  </si>
  <si>
    <t>1404/04/19</t>
  </si>
  <si>
    <t>1404/04/22</t>
  </si>
  <si>
    <t>1404/04/26</t>
  </si>
  <si>
    <t>1404/03</t>
  </si>
  <si>
    <t xml:space="preserve">قلع کاری دستی </t>
  </si>
  <si>
    <t>1404/05/01</t>
  </si>
  <si>
    <t xml:space="preserve">LED بک لایت بر اثر ضربه شکسته </t>
  </si>
  <si>
    <t xml:space="preserve">شبیه سازی افتادن و ایجاد ایراد مشابه </t>
  </si>
  <si>
    <t>LED</t>
  </si>
  <si>
    <t>بر اثر ضربه ناشی از افتادن محصول</t>
  </si>
  <si>
    <t>اتصالی بین پایه Icمیکرو</t>
  </si>
  <si>
    <t xml:space="preserve">یک پایه قطه خازن ورودی رگلاتور قلع نداشت  و بر اثر ضربه پایه دوم با پد مقداری جداشده که اپراتور قطعه را خوابونده و پایه اول بصورت ناقص لحیم کاری کرده   </t>
  </si>
  <si>
    <t>به دلیل اتصال نامناسب قطعه  محصول مدام ریست میشود</t>
  </si>
  <si>
    <t>1404/04/30</t>
  </si>
  <si>
    <t>1404/05/04</t>
  </si>
  <si>
    <t>1404/05/06</t>
  </si>
  <si>
    <t>1404/05/09</t>
  </si>
  <si>
    <t>1404/05/11</t>
  </si>
  <si>
    <t>ايراد صداي غير عادي از مجموعه جلو آمپر.ايراد به روئيت نماينده ساپكو رسيد</t>
  </si>
  <si>
    <t>ايراد عملكردي NBCM  (عملكرد نادرست قفل دربها با سوئيچ) رويت گرديد</t>
  </si>
  <si>
    <t>مطابق با اعلام نظر واحد آناليز-ايراد عدم عملكرد صفحه نمايشگر بالاي داشبورد و عدم عملكرد كولر مشخص گرديد به دليل ايراد كيفي مجموعه نمايشگر چند منظوره رانا ( با كد خطاي U100D عدم حضور نمايشگر چندگانه در شبكه -خطا و ايجاد اختلال در شبكه ).شايان ذكر است با توجه به شبكه بودن قطعه مذكور خرابي صفحه نمايشگر باعث عدم عملكرد كولر خودرو نيز گرديده است كه با تعويض قطعه هر دو ايراد رفع گرديد</t>
  </si>
  <si>
    <t>ايراد عملكردي NBCM  (عملكرد نادرست عدم نمايش  دربها برروي مالتي مديا) رويت گرديد</t>
  </si>
  <si>
    <t>ايراد اتصالي جلو آمپر قطع و وصل پشت آمپر هنگام تنظيم صندلي راننده و ترمز زدن يك مورد به رويت كارشناس ساپكو رسانده شد.</t>
  </si>
  <si>
    <t xml:space="preserve"> عدم نمايش  دربها برروي مالتي مديا</t>
  </si>
  <si>
    <t>قطع و وصل پشت آمپر</t>
  </si>
  <si>
    <t>1404/05/13</t>
  </si>
  <si>
    <t>1404/05/14</t>
  </si>
  <si>
    <t>1404/05/16</t>
  </si>
  <si>
    <t>1404/05/18</t>
  </si>
  <si>
    <t>1404/05/20</t>
  </si>
  <si>
    <t>بدليل كم بودن تعداد كاراكتر هاي باركد رديابي ساعت روي داشبورد امكان ثبت آن وجود ندارد .</t>
  </si>
  <si>
    <t>عطف به بررسي انجام شده ايراد روشن نشدن چراغ هاي پشت آمپر رويت شد  زماني كه سوئيچ را باز ميكنيم چراغ هاي پشت آمپر روشن نميشود  با تعويض قطعه ايراد برطرف گرديد  توليد مربوط به 115 امين روز سال ميباشد</t>
  </si>
  <si>
    <t>وجود دفرمگي  و ناصافي سطح مجموعه دستگيره مچي و كليدهاي شيشه بالابر</t>
  </si>
  <si>
    <t>عملكرد نادرست CBM كه در حالت باز نمودن سوئيچ چراغ هاي جلو و دي لايت خاموش و روشن ميشود. ايراد به روئيت نماينده ساپكو رسيد.</t>
  </si>
  <si>
    <t>ايرادي عملكردي جلوآمپر(عدم عملكرد صفحه نمايشگر) رويت شد</t>
  </si>
  <si>
    <t>استفاده از کانکتور lcd غیر Gold</t>
  </si>
  <si>
    <t>اتصال نامناسب فلتLCD</t>
  </si>
  <si>
    <t>کانکتور LCD</t>
  </si>
  <si>
    <t>کلید تریپ</t>
  </si>
  <si>
    <t xml:space="preserve">اتصالی اهمی زیر پایه میکرو که با حرارت دادن ایراد برطرف گردید </t>
  </si>
  <si>
    <t>اتصالی اهمی</t>
  </si>
  <si>
    <t>1404/05/26</t>
  </si>
  <si>
    <t>خازن قابلمه ای شیفت دارد بصورتی که یکی از پایه ها اتصال نداشته</t>
  </si>
  <si>
    <t>در تست با دستگاهAOI دو بعدی ایراد تشخیص داده نشد که علت پاک شدن سیمیلار قطعه می باشد</t>
  </si>
  <si>
    <t>مونتاژ قطعه بصورت شیفت دار</t>
  </si>
  <si>
    <t xml:space="preserve">تجهیزات </t>
  </si>
  <si>
    <t>MONNTER.SAMSUNG</t>
  </si>
  <si>
    <t>با توجه به اینکه قطعه دریافت نگردیده و ایراد مشابه در اخطار کیفی پیشین وجود داشته است،پاسخ حاضر بر اساس اقدامات قبلی ارائه شده است.</t>
  </si>
  <si>
    <t>عدم دقت اپراتور بسته بندی</t>
  </si>
  <si>
    <t>افزايش حساسيت تشخيص كمبود قلع در تجهيز AOI بر روي ترانزيستور فانكشن دماي حيط</t>
  </si>
  <si>
    <t>باتوجه به بررسی کارگروه ایراد در مقدار خازن کریستال میباشد که از 22پیکو به 10 پیکو کاهش یافت</t>
  </si>
  <si>
    <t>مقدار خازن کریستال از 22پیکو به 10 پیکو کاهش یافت</t>
  </si>
  <si>
    <t>استفاده از وان قلع جهت قلع کاری پایه های قطعات THT</t>
  </si>
  <si>
    <t>ایراد به دلیل جازدن نامناسب کانکتور دسته‌سیم در فرآیند مونتاژ ایجاد گردیده است.</t>
  </si>
  <si>
    <t>خرابی نازل پاشش فلکس</t>
  </si>
  <si>
    <t>تعويض نازل فلكس وان قلع</t>
  </si>
  <si>
    <t>فاصله انداختن بين SET UP محصول هاي مشترك</t>
  </si>
  <si>
    <t>ايراد نرم افزاري</t>
  </si>
  <si>
    <t>به روز رساني نرم افزار</t>
  </si>
  <si>
    <t xml:space="preserve">انجام تست كانكتور 14 پين با كانكتور مقابل به تعداد 2000 عدد	</t>
  </si>
  <si>
    <t>استنسیل معیوب</t>
  </si>
  <si>
    <t>اصلاح لايت باكس (تغيير قالب )جهت كاهش ريسك برخورد لايت باكس به قطعات SMD PCB</t>
  </si>
  <si>
    <t>با توجه به اقدامات تعريف شده قبلي استفاده از كارتن پلاست و نايلون حباب دار موثر نبوده ، در حال حاضر موثرترين اقدام انبارش در مگزين است كه در حاضر به علت تيراژ بالا و كمبود مگزين گهگاهي انبارش در پالت انجام مي گردد لذا مقرر گرديد به ميزان تيراژ توليد سفارش گذاري مگزين انجام پذيرد</t>
  </si>
  <si>
    <t>1-اصلاح فرايند تميزكاري با استفاده از دستگاه التراسونيك	
2-تحت كنترل نمودن فرايند clean pcb</t>
  </si>
  <si>
    <t>PCB</t>
  </si>
  <si>
    <t>IC L9826</t>
  </si>
  <si>
    <t>رله</t>
  </si>
  <si>
    <t xml:space="preserve">IC </t>
  </si>
  <si>
    <t>فیکسچر خم کردن هولدر</t>
  </si>
  <si>
    <t xml:space="preserve"> LED </t>
  </si>
  <si>
    <t>فلکس زیر Icمیکرو اتصالی اهمی</t>
  </si>
  <si>
    <t>محصول</t>
  </si>
  <si>
    <t>وان قلع</t>
  </si>
  <si>
    <t>SCREEN PRINTER</t>
  </si>
  <si>
    <t>پرینتر</t>
  </si>
  <si>
    <t>کوره</t>
  </si>
  <si>
    <t>مگزین لودر</t>
  </si>
  <si>
    <t>1404/04</t>
  </si>
  <si>
    <t>1404/05/28</t>
  </si>
  <si>
    <t>1404/05/29</t>
  </si>
  <si>
    <t>1404/06/08</t>
  </si>
  <si>
    <t>ايراد عملكردي NBCM  (اتصالي كليد AC كولر استارت ميزنده  )يك رويت گرديد</t>
  </si>
  <si>
    <t>ايراد صداي غيرعادي در هنگام حركت از جلو آمپر سورن به دليل لقي كليد تنظيم نور چراغ پشت آمپر.</t>
  </si>
  <si>
    <t>خراش و اثر لك مجموعه دستگيره مچي درب جلو چپ سازه پويش</t>
  </si>
  <si>
    <t>اندازه گیری</t>
  </si>
  <si>
    <t>مونتاژ پین</t>
  </si>
  <si>
    <t>اتصالی مقاومت SMD به دلیل پاشش قلع</t>
  </si>
  <si>
    <t>اتصالی(پاشش قلع)</t>
  </si>
  <si>
    <t>IK02627480</t>
  </si>
  <si>
    <t>NBCM TARA SAL SBR</t>
  </si>
  <si>
    <t>IK02625180</t>
  </si>
  <si>
    <t>IK02623480</t>
  </si>
  <si>
    <t>جلو آمپر دنا اتوماتیک SBR</t>
  </si>
  <si>
    <t>جلو آمپر تارا دستی SBR</t>
  </si>
  <si>
    <t>ايراد موجدار بودن مجموعه دستگيره مچي درب جلو راست</t>
  </si>
  <si>
    <t>ايرادي عملكردي جلوآمپر( صفحه نمايشگر اعداد ناقص ) رويت شد</t>
  </si>
  <si>
    <t>ايراد عملكرديNBCM(عدم عملكرد روشن نشدن خودرو ) رويت گرديد</t>
  </si>
  <si>
    <t>ايرادي عملكردي جلوآمپر( صفحه نمايشگربرعكس ) رويت شد</t>
  </si>
  <si>
    <t>ايرادي عملكردي جلوآمپر( عدم عملكرد كامل و عدم ارتباط با دياگ) رويت شد</t>
  </si>
  <si>
    <t>1404/06/11</t>
  </si>
  <si>
    <t>1404/06/17</t>
  </si>
  <si>
    <t>1404/06/15</t>
  </si>
  <si>
    <t>1404/06/12</t>
  </si>
  <si>
    <t>اتصالی مویی زیر کانکتور 40 پین</t>
  </si>
  <si>
    <t>پلیسه مویی زیر کانکتور</t>
  </si>
  <si>
    <t>دفرمگي و ناصافي سطح قاب كليد شيشه بالابر عقب چپ</t>
  </si>
  <si>
    <t>ايرادعملكرد نادرست جلو آمپر (عدم عملكرد نگيني كمربند) يك نمونه رويت شد.</t>
  </si>
  <si>
    <t>1404/06/20</t>
  </si>
  <si>
    <t>1404/06/23</t>
  </si>
  <si>
    <t>در مرحله اول تست با تستر کنترل نهایی ایراد مشاهده و دیگر ایراد برطرف گردید در ادامه فلکس زیر Icمیکرو اتصالی اهمی</t>
  </si>
  <si>
    <t xml:space="preserve"> اتصالی اهمی</t>
  </si>
  <si>
    <t>1404/06/24</t>
  </si>
  <si>
    <t>1404/06/31</t>
  </si>
  <si>
    <t>IK02623780</t>
  </si>
  <si>
    <t>IK02623380</t>
  </si>
  <si>
    <t>ايراد عملكرد جلوآمپر(صداي  اضافه داخل آمپرو عدم عملكرد نگيني كمربند) رويت شد</t>
  </si>
  <si>
    <t>ايرادي عملكردي جلوآمپر( عدم عملكرد عقربه دور موتور) رويت شد</t>
  </si>
  <si>
    <t>ايراد مورد بررسي قرار گرفت كه با پيكربندي مجدد و تعويض سنسور دنده عقب روي سپرعقب اصلاح نگرديدايراد مربوط به نرم افزار جلو آمپر 85 گانه سازه پويش مي باشد</t>
  </si>
  <si>
    <t>ايراد مجموعه كليد شيشه بالابر درب جلو چپ، خودور دنا عملكرد نادرست ،بطوريكه تنظيم آينه  سمت راننده جهت چپ كار نمي كند (شكست گارانتي)- مرتبط با  شركت سازه پويش</t>
  </si>
  <si>
    <t>جلو آمپرSOREN SBR</t>
  </si>
  <si>
    <t xml:space="preserve">جلو آمپر207  معمولی85 گانه SBR </t>
  </si>
  <si>
    <t>1404/07/05</t>
  </si>
  <si>
    <t>1404/07/03</t>
  </si>
  <si>
    <t>IK02623580</t>
  </si>
  <si>
    <t>جلو آمپر تارا اتوماتیک SBR</t>
  </si>
  <si>
    <t>ايراد عملكرديNBCM(عملكرد نادرست هنگام استفاده ترمز دستي نشانگر درب موتور برروي مديا فعال ميشود) يك مورد رويت گرديد</t>
  </si>
  <si>
    <t>ايراد عملكرد جلوآمپر(  عملكردنادرست عقربه دور موتور لرزش دارد) رويت شد</t>
  </si>
  <si>
    <t>ايراد عملكرد جلوآمپر( عدم عملكرد نگيني باتري) رويت شد</t>
  </si>
  <si>
    <t>ايراد عملكرديNBCM(عملكرد نادرست ثبت اشتباه يا مغايرت IN خودرو) يك مورد رويت گرديد</t>
  </si>
  <si>
    <t>ايراد عملكرد NBCM(عملكرد نادرست روشن ماندن نشانگرstop و باتري برروي نمايشگر پشت آمپر ) يك مورد رويت گرديد</t>
  </si>
  <si>
    <t>1404/05</t>
  </si>
  <si>
    <t>1404/07/07</t>
  </si>
  <si>
    <t>1404/07/08</t>
  </si>
  <si>
    <t>1404/07/09</t>
  </si>
  <si>
    <t>يراد صداي اضافي در تست جاده مربوط به دكمه هاي تنظيم روي كيلومتر شمار مي باشد</t>
  </si>
  <si>
    <t>ايراد عدم نمايش نشانگر باز بودن درب جلو راست بر روي صفحه نمايشگر ديجيتالي بروز نموده است</t>
  </si>
  <si>
    <t>صداي اضافي از اهرم تثبيت كننده جلو آمپر در تست جاده_ايراد به روئيت نماينده ساپكو رسيده است.</t>
  </si>
  <si>
    <t>ايراد مغايرت صفحه نمايشگر جلو آمپر در وضعيت دنده عقب. ايراد به روئيت نماينده ساپكو رسيد.</t>
  </si>
  <si>
    <t>ايراد عملكرد جلوآمپر( عدم عملكرد كامل جلو آمپر) رويت شد</t>
  </si>
  <si>
    <t>باطل شده</t>
  </si>
  <si>
    <t>وجود فلکس زیر IC میکرو</t>
  </si>
  <si>
    <t>ایراد در قالب پلیمری</t>
  </si>
  <si>
    <t>1404/07/13</t>
  </si>
  <si>
    <t>شارژ پایه ic micro بصورت دستی با هویه  جهت رفع اتصالی</t>
  </si>
  <si>
    <t>وجود روغن لحیم بر روی پایه های IC MICRO</t>
  </si>
  <si>
    <t>اتصالی مقاومت  4.7K</t>
  </si>
  <si>
    <t>مقاومت  4.7K</t>
  </si>
  <si>
    <t>به دلیل نبود امکان تست و ریشه یابی در خط قابل بررسی نمی باشد</t>
  </si>
  <si>
    <t>ایراد مربوط به قطعه LED  می باشد</t>
  </si>
  <si>
    <t>1404/07/16</t>
  </si>
  <si>
    <t>1404/07/20</t>
  </si>
  <si>
    <t>1404/07/21</t>
  </si>
  <si>
    <t>1404/07/22</t>
  </si>
  <si>
    <t>1404/07/24</t>
  </si>
  <si>
    <t>1404/07/28</t>
  </si>
  <si>
    <t>96327905XT</t>
  </si>
  <si>
    <t>IK02627780</t>
  </si>
  <si>
    <t>SBM 207 SBR</t>
  </si>
  <si>
    <t>SBM SOREN SBR</t>
  </si>
  <si>
    <t>کلید شیشه بالابرعقب 207</t>
  </si>
  <si>
    <t>ايراد عملكرديNBCM(عملكرد نادرست برف پاكن  لحظه اي عملكرد دارد) يك مورد رويت گرديد</t>
  </si>
  <si>
    <t>ايراد كليد شيشه بالابر عقب خودروي پژو 207؛بطوريكه خرابي ظاهري يا آسيب ديدگي روي بزل مشاهده مي شود . مرتبط با  شركت سازه پويش</t>
  </si>
  <si>
    <t>ايراد ظاهريBCM(شكستگي پايه براكت)  رويت گرديد</t>
  </si>
  <si>
    <t>ايراد عملكردي NBCM (عملكرد نادرست چراغ عقب چپ چشمك ميزند) خودرو و ايراد به رويت آقاي فيروزي رسانده شد.</t>
  </si>
  <si>
    <t>ايراد عملكرد جلوآمپر(عملكرد نادرست عقربه دور موتور) رويت شد</t>
  </si>
  <si>
    <t>ايراد كليد شيشه بالابر عقب خودروي پژو 207؛بطوريكه شيشه بالابر راست در دو حالت بالاو پايين عملكرد ندارد و چراغ هيدلايت روي شستي كليد روشن نمي شود. مرتبط با  شركت سازه پويش</t>
  </si>
  <si>
    <t>ايراد عملكرد جلوآمپر(عملكرد نادرست عقربه دور موتورلرزش و گير كردن در حركت اوليه) رويت شد</t>
  </si>
  <si>
    <t>عملكرد نادرست  برف پاک کن</t>
  </si>
  <si>
    <t>1404/06</t>
  </si>
  <si>
    <t>1404/08/01</t>
  </si>
  <si>
    <t>1404/08/03</t>
  </si>
  <si>
    <t>1404/08/06</t>
  </si>
  <si>
    <t>ايراد عملكردي BCM (صداي بازر راهنما و دنده عقب قطع ) رويت گرديد</t>
  </si>
  <si>
    <t>ايراد پليسه گيري نامناسب لبه قاب مجموعه جلو آمپر مشاهده شده داخل بسته بندي</t>
  </si>
  <si>
    <t>ايراد كليد شيشه بالابر عقب خودروي پژو 207؛بطوريكه شيشه بالابر چپ در دو حالت بالاو پايين عملكرد ندارد . مرتبط با  شركت سازه پويش</t>
  </si>
  <si>
    <t>ايراد عملكردي NBCM (صداي بازر راهنما و دنده عقب قطع ) رويت گرديد</t>
  </si>
  <si>
    <t>ايراد عملكردي BCM (عملكرد نادرست برف پاك كن  يكسره ) رويت گرديد</t>
  </si>
  <si>
    <t>ايراد عملكرد جلوآمپر(عدم عملكرد صفحه نمايشگر  ) رويت شد</t>
  </si>
  <si>
    <t>موقعیت نادرست</t>
  </si>
  <si>
    <t>کالیبره اشتباه</t>
  </si>
  <si>
    <t>فتحی</t>
  </si>
  <si>
    <t>1404/07/30</t>
  </si>
  <si>
    <t>1404/06/26</t>
  </si>
  <si>
    <t>ايراد مجموعه كليد شيشه بالابر درب جلو چپ، خودور دنا عملكرد نادرست تنظيم آينه (بطوريكه  سمت راننده جهت راست و سمت شاگرد جهت پايين پله پله مي شود گير دارد)- مرتبط با  شركت سازه پويش</t>
  </si>
  <si>
    <t>عملکرد نادرست تنظیم آیینه</t>
  </si>
  <si>
    <t>عدم اتصال پلیت به برد</t>
  </si>
  <si>
    <t>پلیت</t>
  </si>
  <si>
    <t>اتصال نامناسب</t>
  </si>
  <si>
    <t>1404/07/10</t>
  </si>
  <si>
    <t>1404/08/13</t>
  </si>
  <si>
    <t>عدم قلع کاری 4 پایه از 5 پایه</t>
  </si>
  <si>
    <t>نبود قلع</t>
  </si>
  <si>
    <t>ايراد مجموعه كليد شيشه بالابر درب جلو چپ، خودور دنا عدم عملكرد كليد جوي استيك (بطوريكه فولدآنفولد و تنظيم آينه هر دو سمت كار نمي كند)- مرتبط با  شركت سازه پويش</t>
  </si>
  <si>
    <t>1404/08/10</t>
  </si>
  <si>
    <t>کلید</t>
  </si>
  <si>
    <t>نبود قلع بر روی پایه ها</t>
  </si>
  <si>
    <t>1404/08/17</t>
  </si>
  <si>
    <t>1404/08/14</t>
  </si>
  <si>
    <t>1404/08/19</t>
  </si>
  <si>
    <t>1404/08/20</t>
  </si>
  <si>
    <t>IK026729PB</t>
  </si>
  <si>
    <t>طي بررسي ايراد پليسه گيري نامطلوب قاب كليد شيشه بالابر جلو راست سورن آديت نهايي سايت تبريز مشخص  شد :  وجود پليسه و تيزي لبه بر روي قاب كليد شيشه بالابر (دستگيره مچي) جلو راست سورن ، مرتبط با ايراد كيفي قطعه  مي باشد .</t>
  </si>
  <si>
    <t>ايراد عملكردي BCM (عدم عملكردبالابر جلو چپ عملكرد پايين ندارد ) رويت گرديد</t>
  </si>
  <si>
    <t>ايراد ارسال اشتباه NBCM (دو نمونه قطعه NBCMخودرو دنا اشتباه در محموله هاي ارسالي قطعات تارا ) رويت گرديد</t>
  </si>
  <si>
    <t>ايرادعملكردي NBCM (عملكرد نشانگرميكرو سويئچ درب عقب چپ برروي مديا يكسره باز  ) رويت گرديد</t>
  </si>
  <si>
    <t>ايراد عدم عملكرد شيشه بالابر در عقب چپ به دليل انحراف پايه سوكت داخل پنل كليد شيشه بالابر بروز نموده است</t>
  </si>
  <si>
    <t xml:space="preserve">کلید شیشه بالابر عقب چپ سورن SBR </t>
  </si>
  <si>
    <t>ارسال اشتباه ( مدل يا نوع )</t>
  </si>
  <si>
    <t>1404/08/28</t>
  </si>
  <si>
    <t>قطعی مسیر</t>
  </si>
  <si>
    <t xml:space="preserve">مونتاژ نادرست </t>
  </si>
  <si>
    <t>ساپورت شفت</t>
  </si>
  <si>
    <t>مونتاژ نادرست  قطعه</t>
  </si>
  <si>
    <t xml:space="preserve"> غزال ساکی</t>
  </si>
  <si>
    <t>IK02626980</t>
  </si>
  <si>
    <t>IK026730PB</t>
  </si>
  <si>
    <t>1404/08/26</t>
  </si>
  <si>
    <t>1404/09/01</t>
  </si>
  <si>
    <t>ايراد عملكرد جلوآمپر( اتصالي پشت آمپر و بك لايت) رويت شد</t>
  </si>
  <si>
    <t>روشن ماندن دائم چراغ هاي جلو در حالت نور بالا به علت معيوب بودن CBM شركت سازنده سازه پويش - ايراد به رويت آقاي كشاورز رسيده است.</t>
  </si>
  <si>
    <t>خراش دستگيره مچي عقب راست</t>
  </si>
  <si>
    <t>صداي غير عادي(کلید تریپ)</t>
  </si>
  <si>
    <t xml:space="preserve">کلید شیشه بالابر عقب راست سورن SBR </t>
  </si>
  <si>
    <t>حين اعمال ضربه خارجي، استرس داخلي در موقعيتي نزديک به قسمت چسبنده محصول متمرکز مي گردد، بنابراين ايراد ترک و شکاف در قسمت بال سطح الکترود رخ مي دهد</t>
  </si>
  <si>
    <t>ایراد  در مواد اولیه</t>
  </si>
  <si>
    <t>1404/09/02</t>
  </si>
  <si>
    <t>1404/09/04</t>
  </si>
  <si>
    <t>1404/09/05</t>
  </si>
  <si>
    <t>1404/09/08</t>
  </si>
  <si>
    <t>1404/09/10</t>
  </si>
  <si>
    <t>IK02623880</t>
  </si>
  <si>
    <t>جلو آمپر207 اتوماتیک85 گانه SBR</t>
  </si>
  <si>
    <t>ايراد عملكرد جلوآمپر(عدم عملكرد اهرم تنظيم نور)  يك نمونه رويت شد</t>
  </si>
  <si>
    <t>ايراد عملكرد جلوآمپر(مغايرت رنگ نگيني دربها زرد رنگ ) رويت شد</t>
  </si>
  <si>
    <t>ايرادعملكردي NBCM (عدم عملكرد بازر : صداي هشدار رهنما ودنده عقب ) رويت گرديد</t>
  </si>
  <si>
    <t>ايراد عملكرد جلوآمپر( عدم عملكرد) رويت شد</t>
  </si>
  <si>
    <t>ايرادعملكردي BCM (عدم عملكردمه شكن  عقب و جلو) رويت گرديد</t>
  </si>
  <si>
    <t>ايرادعملكردي BCM (عدم عملكرد راهنماي و فلاشر چپ) رويت گرديد</t>
  </si>
  <si>
    <t>اشتباه اپراتور بسته بندی</t>
  </si>
  <si>
    <t>سعید زارعی</t>
  </si>
  <si>
    <t>ايراد دفرمگي و موجدار بودن قسمت براق قاب كليد شيشه بالابر در عقب چپ مربوط به سازنده مي باشد</t>
  </si>
  <si>
    <t>ايراد پليسه گيري نامطلوب قاب كليد شيشه بالابر در عقب چپ.</t>
  </si>
  <si>
    <t>1404/09/11</t>
  </si>
  <si>
    <t>میکروسوییچ</t>
  </si>
  <si>
    <t>ارسال برای تامین کننده</t>
  </si>
  <si>
    <t>مونتاژ اشتباه  قطعه</t>
  </si>
  <si>
    <t>Chip Mounting خط 2</t>
  </si>
  <si>
    <t>ترک قلع و کمبود قلع پایه</t>
  </si>
  <si>
    <t>فوران ناقص</t>
  </si>
  <si>
    <t>محرمعلی سبزی/مهدی کاهدی</t>
  </si>
  <si>
    <t>عدم دقت اپراتور شارژ و بازرس کنترل چشمی در تشخیص ایراد</t>
  </si>
  <si>
    <t>1404/09/19</t>
  </si>
  <si>
    <t>جدا شدن پایه بازر</t>
  </si>
  <si>
    <t>1404/09/22</t>
  </si>
  <si>
    <t>عدم قلع پذیری پایه کریستال</t>
  </si>
  <si>
    <t>1404/09/21</t>
  </si>
  <si>
    <t>1404/09/18</t>
  </si>
  <si>
    <t>پلیسه کانکتور</t>
  </si>
  <si>
    <t>1404/09/16</t>
  </si>
  <si>
    <t>ايراد عدم تطابق ليبل و حك مشاهده شده است كه نشان از خطاپذير بودن تطابق ليبل و حك دارد . مطابق آديت فرايند رديابي مغايرت موضوع فوق اعلام شده بود كه لازم است ضمن ضدخطاسازي فرايند رديابي جلوآمپر نسبت به اخذ تائيديه فرايند رديابي از بخش رديابي ساپكو اقدام لازم انجام گردد . محمدي</t>
  </si>
  <si>
    <t>ايراد عدم عملكرد لادري درب هاي عقب و صندوق و درب موتور به دليل معيوب بودن قطعه CBM (مجموعه  جعبه  الكترونيكي  مالتي پلكس) بروز نموده است.</t>
  </si>
  <si>
    <t>سعید مهذب</t>
  </si>
  <si>
    <t>مونتاژ اشتباه</t>
  </si>
  <si>
    <t>مونتاژ نادرست قطعه</t>
  </si>
  <si>
    <t>عدم اتصال مناسب</t>
  </si>
  <si>
    <t>کانکتور18 پین</t>
  </si>
  <si>
    <t>1404/09/29</t>
  </si>
  <si>
    <t>نبود قلع بر روی پد بازر</t>
  </si>
  <si>
    <t>نبود قلع بر روی پد</t>
  </si>
  <si>
    <t>ايراد مدل اشتباه BCM(ارسال اشتباه قطعه خودرو تارا با فني دنا)  رويت گرديد</t>
  </si>
  <si>
    <t>ايراد عملكرديBCM(كسري پيچ براكت) يك مورد رويت گرديد</t>
  </si>
  <si>
    <t>ايراد عملكردي  bcm ( عدم تعريف ريموت ) رويت شد</t>
  </si>
  <si>
    <t>ايراد عدم نمايش نشانگر باز بودن دربهاي جانبي چپ برروي صفحه نمايشگر ديجيتالي خودرو رانا بروز نموده است</t>
  </si>
  <si>
    <t>حين آزمون دوام و در دماي 30 - درجه سانتي گراد پارامترها در نمايشگر نمونه به سختي قابل تشخص مي باشند با افزايش دما نمايشگر عملكرد صحيح خود را باز مي يابد-ايراد در نمايشگر دماي آب-در تست Function test after EMC  نيز ايراد در نمايشگر دماي آب مشاهده گرديد</t>
  </si>
  <si>
    <t>حين آزمون دوام و در دماي 30 - درجه سانتي گراد پارامترها در نمايشگر نمونه به سختي قابل تشخص مي باشند ( با افزايش دما نمايشگر عملكرد صحيح خود را باز مي يابد )</t>
  </si>
  <si>
    <t>باتوجه به اينكه شماره فني IK00843780  تست ريپورت آن مورد تاييد نمي باشد و به IK02625280 و IK00019080 ارجاع داده شده است و در نتيجه تست آزمون اين شماره فني مردود  و عدم ورود اعلام مي گردد</t>
  </si>
  <si>
    <t>حين آزمون دوام و در دماي 30 - درجه سانتي گراد پارامترها در نمايشگر نمونه با تاخير تغيير مي يابند</t>
  </si>
  <si>
    <t>حين آزمون دوام و در دماي 30 - درجه سانتي گراد پارامترها در نمايشگر نمونه با تاخير تغيير مي يابند .</t>
  </si>
  <si>
    <t>قطعه در آزمون عملكردي بند 7.10 استاندارد، بررسي نفوذ ميله به قطر 1 ميلي متر باتوجه به فاصله در اطراف كانكتور 15 پايه سفيد و همچنين وجود منافذ تعبيه شده براي بازر،ميله به قطر 1 ميلي متر به داخل نمونه نفوذ مي كند._x000D_
ميلي متر به داخل نمونه نفوذ مي كند.مردود</t>
  </si>
  <si>
    <t>پيش از آزمون خروجيVeco  با اعمال بار به ميزان 4A قطع ميگرديد.پيش از آزمون خروجي Rear Fog با اتصال دو عدد لامپ 21 وات قطع مي گردد</t>
  </si>
  <si>
    <t>ايراد عملكرد جلو آمپر (عملكرد اشتباه آمپر بنزين )كه در خدمات پس از فروش بررسي گرديد</t>
  </si>
  <si>
    <t>ايرادعملكردي BCM (عدم تعريف ريموت ) رويت گرديد</t>
  </si>
  <si>
    <t>ايراد عملكرديNBCM(يكسره بودن قفل ها) يك مورد رويت گرديد</t>
  </si>
  <si>
    <t>ايراد عملكرد جلوآمپر( عدم عملكردصفحه نمايشگر ) رويت شد</t>
  </si>
  <si>
    <t>ايرادعملكردي BCM (عدم نمايش يك ازنگينيهاي SBRصندلي عقب ) رويت گرديد</t>
  </si>
  <si>
    <t>ايراد عملكرد جلوآمپر(عملكرد صفحه نمايشگر اعداد و ارقام بهم ريخته ) رويت شد</t>
  </si>
  <si>
    <t>خروجيVeco  با اعمال بار به ميزان 4A قطع ميگرديد .خروجي Rear Fog با اتصال دو عدد لامپ 21 وات قطع مي گردد</t>
  </si>
  <si>
    <t>خروجيVeco  با اعمال بار به ميزان 4A قطع ميگرديد .خروجي Rear Fog با اتصال دو عدد لمپ 21 وات قطع مي گردد</t>
  </si>
  <si>
    <t>شناسايي فيلرهاي معدني درپليمرها pp40% است كه در ازمون 43% ذكر شده است</t>
  </si>
  <si>
    <t>طي بررسي ايراد پليسه گيري نامطلوب قاب كليد شيشه بالابر جلو راست سورن آديت نهايي سايت تبريز مشخص_x000D_
شد :_x000D_
وجود پليسه و تيزي لبه بر روي قاب كليد شيشه بالابر (دستگيره مچي) جلو راست سورن ، مرتبط با ايراد كيفي قطعه_x000D_
مي باشد .</t>
  </si>
  <si>
    <t>به علت جادرآمدن و همچنين سختي در جاگذاري كليد مجموعه شيشه بالابر عقب برروي كنسول وسط خودروي 207 مشاهده گرديده است،به نحوي كه پايه هاي قفل كليد به درستي برروي قطعه مقابل درگير و نصب نمي شود همچنين بدليل ضعف درجنس مواد پايه هاي كليد،اين پايه ها به سهولت دچار خم شدگي مي گردند كه منجر به عدم استقرار مناسب قطعه مي شود.</t>
  </si>
  <si>
    <t>ايراد دفرمگي و موجدار بودن قسمت براق قاب كليد شيشه بالابر در عقب چپ مربوط به سازنده مي باشد****طرقي</t>
  </si>
  <si>
    <t>ايراد دفرمگي و موج قاب كليد شيشه بالابر جلو چپ مربوط به قطعه مجموعه دستگيره مچي با منشاء سازنده_x000D_
ميباشد.***طرقي</t>
  </si>
  <si>
    <t>ايراد پليسه گيري نامطلوب قاب كليد شيشه بالابر در عقب چپ.****طرقي</t>
  </si>
  <si>
    <t>عطف به بررسي انجام شده ايراد روشن نشدن چراغ هاي پشت آمپر رويت شد_x000D_
زماني كه سوئيچ را باز ميكنيم چراغ هاي پشت آمپر روشن نميشود_x000D_
با تعويض قطعه ايراد برطرف گرديد_x000D_
توليد مربوط به 115 امين روز سال ميباشد</t>
  </si>
  <si>
    <t>ايرادي ظاهريعملكردي جلوآمپر(وجود اشغال در آمپر كيلومتر شمار) رويت شد</t>
  </si>
  <si>
    <t>ايراد عدم قفل شدن سوكت پنل شيشه بالابر درب هاي عقب چپ و راست به دليل معيوب بودن مجموعه پنل بروز نموده است.ايراد به روئيت نماينده سازنده رسيده است.</t>
  </si>
  <si>
    <t>عدم عملكرد TPMS پس از پيمايش 6 كيلومتر_طي بررسي هاي صورت گرفته منشأ ايراد مشاهده شده درسالن آديت از لقي پايه نگهدارنده فيوز5 آمپري دسته سيم چراغ عقب  مي باشد.ايراد به روئيت نماينده ساپكو رسيده است.</t>
  </si>
  <si>
    <t>ايراد كوتاهي دسته سيم كف انشعاب CBM كه به رويت نماينده ساپكو آقاي يزدان ستا رسيد</t>
  </si>
  <si>
    <t>ايراد عدم عملكرد مه شكن كه ايراد مربوط به سوكت پايه دسته سيم چراغ هاي كه به سختي مونتاژ ميگردد و باعث شكستگي كاور سوكت ميباشد</t>
  </si>
  <si>
    <t>كجي پايه سوكت مشكي آبي روي جعبه فيوز(محفظه موتور)  دسته سيم اصلي</t>
  </si>
  <si>
    <t>ايراد مغايرت ابعادي از محل انشعاب و كوتاهي كه باعث سختي مونتاژ ميگردد</t>
  </si>
  <si>
    <t>ايراد صداي اضافي از شيشه بالابر طي بررسي انجام گرفته ايراد به دليل برخورد دسته سيم درب با شيشه بالابر به دليل ثابت نبودن بست نصب شده روي دسته سيم مي باشد</t>
  </si>
  <si>
    <t>ايراد  ناقص بودن كاور دسته سيم كف كابين كه ريسك اتصالي دارد****طرقي</t>
  </si>
  <si>
    <t>افتادگي كاور سوكت cbm دسته سيم اصلي ، عدم قفل شدن كاور در محل خود قبل از مونتاژ</t>
  </si>
  <si>
    <t>اقدام كوتاه مدت</t>
  </si>
  <si>
    <t>اقدام ميان مدت</t>
  </si>
  <si>
    <t>خاتمه يافته</t>
  </si>
  <si>
    <t>IK02704680</t>
  </si>
  <si>
    <t>IK02672380</t>
  </si>
  <si>
    <t>YG22241969</t>
  </si>
  <si>
    <t>1404/10/14</t>
  </si>
  <si>
    <t>1404/10/15</t>
  </si>
  <si>
    <t>1404/10/10</t>
  </si>
  <si>
    <t>1404/10/02</t>
  </si>
  <si>
    <t>1404/10/06</t>
  </si>
  <si>
    <t>1404/10/07</t>
  </si>
  <si>
    <t>1404/10/09</t>
  </si>
  <si>
    <t>1404/09/24</t>
  </si>
  <si>
    <t>1404/10/04</t>
  </si>
  <si>
    <t>1404/10/08</t>
  </si>
  <si>
    <t>1404/09/25</t>
  </si>
  <si>
    <t>1404/09/23</t>
  </si>
  <si>
    <t>1404/08/04</t>
  </si>
  <si>
    <t>1404/08/18</t>
  </si>
  <si>
    <t>1404/09/06</t>
  </si>
  <si>
    <t>1404/09/20</t>
  </si>
  <si>
    <t>1404/09/12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</si>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</sst>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14">
    <xf numFmtId="0" fontId="0" fillId="0" borderId="0" xfId="0"/>
    <xf numFmtId="0" fontId="0" fillId="0" borderId="0" xfId="0" pivotButton="1"/>
    <xf numFmtId="1" fontId="0" fillId="0" borderId="0" xfId="0" applyNumberFormat="1"/>
    <xf numFmtId="0" fontId="0" fillId="0" borderId="0" xfId="0" applyAlignment="1">
      <alignment horizontal="center" vertical="center"/>
    </xf>
    <xf numFmtId="164" fontId="0" fillId="0" borderId="0" xfId="1" applyNumberFormat="1" applyFont="1" applyAlignment="1">
      <alignment horizontal="center" vertical="center"/>
    </xf>
    <xf numFmtId="1" fontId="0" fillId="0" borderId="0" xfId="1" applyNumberFormat="1" applyFont="1" applyAlignment="1">
      <alignment horizontal="center" vertical="center"/>
    </xf>
    <xf numFmtId="0" fontId="0" fillId="0" borderId="0" xfId="0" applyAlignment="1">
      <alignment readingOrder="2"/>
    </xf>
    <xf numFmtId="49" fontId="0" fillId="0" borderId="0" xfId="0" applyNumberFormat="1" applyAlignment="1">
      <alignment horizontal="right"/>
    </xf>
    <xf numFmtId="49" fontId="0" fillId="0" borderId="0" xfId="1" applyNumberFormat="1" applyFont="1" applyAlignment="1">
      <alignment horizontal="center" vertical="center"/>
    </xf>
    <xf numFmtId="49" fontId="0" fillId="0" borderId="0" xfId="0" applyNumberFormat="1"/>
    <xf numFmtId="164" fontId="0" fillId="0" borderId="0" xfId="1" applyNumberFormat="1" applyFont="1"/>
    <xf numFmtId="0" fontId="0" fillId="0" borderId="0" xfId="0" applyAlignment="1">
      <alignment horizontal="center" vertical="center" wrapText="1"/>
    </xf>
    <xf numFmtId="0" fontId="0" fillId="0" borderId="0" xfId="0" applyAlignment="1">
      <alignment horizontal="center" vertical="center" wrapText="1" readingOrder="2"/>
    </xf>
    <xf numFmtId="0" fontId="0" fillId="0" borderId="0" xfId="0" applyAlignment="1">
      <alignment horizontal="center" vertical="center" readingOrder="2"/>
    </xf>
  </cellXfs>
  <cellStyles count="2">
    <cellStyle name="Comma" xfId="1" builtinId="3"/>
    <cellStyle name="Normal" xfId="0" builtinId="0"/>
  </cellStyles>
  <dxfs count="10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 #,##0_);_(* \(#,##0\);_(* &quot;-&quot;??_);_(@_)"/>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64" formatCode="_(* #,##0_);_(* \(#,##0\);_(* &quot;-&quot;??_);_(@_)"/>
      <alignment horizontal="center" vertical="center" textRotation="0" wrapText="0" indent="0" justifyLastLine="0" shrinkToFit="0" readingOrder="0"/>
    </dxf>
    <dxf>
      <numFmt numFmtId="164" formatCode="_(* #,##0_);_(* \(#,##0\);_(* &quot;-&quot;??_);_(@_)"/>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_(* #,##0_);_(* \(#,##0\);_(* &quot;-&quot;??_);_(@_)"/>
      <alignment horizontal="center" vertical="center" textRotation="0" wrapText="0" indent="0" justifyLastLine="0" shrinkToFit="0" readingOrder="0"/>
    </dxf>
    <dxf>
      <numFmt numFmtId="164" formatCode="_(* #,##0_);_(* \(#,##0\);_(* &quot;-&quot;??_);_(@_)"/>
      <alignment horizontal="center" vertical="center" textRotation="0" wrapText="0" indent="0" justifyLastLine="0" shrinkToFit="0" readingOrder="0"/>
    </dxf>
    <dxf>
      <numFmt numFmtId="164" formatCode="_(* #,##0_);_(* \(#,##0\);_(* &quot;-&quot;??_);_(@_)"/>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2"/>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top style="thin">
          <color indexed="64"/>
        </top>
      </border>
    </dxf>
    <dxf>
      <border outline="0">
        <left style="thin">
          <color indexed="64"/>
        </lef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2"/>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top style="thin">
          <color rgb="FF000000"/>
        </top>
      </border>
    </dxf>
    <dxf>
      <border outline="0">
        <left style="thin">
          <color rgb="FF000000"/>
        </left>
        <top style="thin">
          <color rgb="FF000000"/>
        </top>
        <bottom style="thin">
          <color rgb="FF000000"/>
        </bottom>
      </border>
    </dxf>
    <dxf>
      <alignment horizontal="center" vertical="center" textRotation="0" wrapText="1" indent="0" justifyLastLine="0" shrinkToFit="0" readingOrder="0"/>
    </dxf>
    <dxf>
      <border outline="0">
        <bottom style="thin">
          <color rgb="FF000000"/>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5.442805092593" createdVersion="8" refreshedVersion="8" minRefreshableVersion="3" recordCount="321" xr:uid="{092B911F-8732-49CD-A7C0-894488B5D25F}">
  <cacheSource type="worksheet">
    <worksheetSource name="Table2"/>
  </cacheSource>
  <cacheFields count="33">
    <cacheField name="تعداد اخطار کیفی" numFmtId="0">
      <sharedItems containsSemiMixedTypes="0" containsString="0" containsNumber="1" containsInteger="1" minValue="1" maxValue="1"/>
    </cacheField>
    <cacheField name="ردیف" numFmtId="0">
      <sharedItems containsMixedTypes="1" containsNumber="1" containsInteger="1" minValue="0" maxValue="0"/>
    </cacheField>
    <cacheField name="سريال اخطار" numFmtId="0">
      <sharedItems containsSemiMixedTypes="0" containsString="0" containsNumber="1" containsInteger="1" minValue="194290" maxValue="224052"/>
    </cacheField>
    <cacheField name="تاريخ تاييد" numFmtId="0">
      <sharedItems/>
    </cacheField>
    <cacheField name="ماهیانه" numFmtId="0">
      <sharedItems/>
    </cacheField>
    <cacheField name="ماه" numFmtId="0">
      <sharedItems containsMixedTypes="1" containsNumber="1" containsInteger="1" minValue="1" maxValue="12" count="24">
        <s v="01"/>
        <s v="02"/>
        <s v="03"/>
        <s v="04"/>
        <s v="05"/>
        <s v="06"/>
        <s v="07"/>
        <s v="08"/>
        <s v="09"/>
        <s v="10"/>
        <s v="11"/>
        <s v="12"/>
        <n v="1" u="1"/>
        <n v="2" u="1"/>
        <n v="3" u="1"/>
        <n v="4" u="1"/>
        <n v="5" u="1"/>
        <n v="6" u="1"/>
        <n v="7" u="1"/>
        <n v="8" u="1"/>
        <n v="9" u="1"/>
        <n v="10" u="1"/>
        <n v="11" u="1"/>
        <n v="12" u="1"/>
      </sharedItems>
    </cacheField>
    <cacheField name="سال" numFmtId="0">
      <sharedItems count="2">
        <s v="1403"/>
        <s v="1404"/>
      </sharedItems>
    </cacheField>
    <cacheField name="محصولات" numFmtId="0">
      <sharedItems/>
    </cacheField>
    <cacheField name="شرح قطعه" numFmtId="0">
      <sharedItems/>
    </cacheField>
    <cacheField name="ایراد اعلام شده مشتری" numFmtId="0">
      <sharedItems longText="1"/>
    </cacheField>
    <cacheField name="شرح ایراد" numFmtId="0">
      <sharedItems/>
    </cacheField>
    <cacheField name="تستر" numFmtId="0">
      <sharedItems/>
    </cacheField>
    <cacheField name="تاریخ تست" numFmtId="0">
      <sharedItems/>
    </cacheField>
    <cacheField name="تست خودرویی" numFmtId="0">
      <sharedItems/>
    </cacheField>
    <cacheField name="تاریخ تست خودرویی" numFmtId="0">
      <sharedItems/>
    </cacheField>
    <cacheField name="تست پیشنهادی" numFmtId="0">
      <sharedItems/>
    </cacheField>
    <cacheField name="تاریخ تست پیشنهادی" numFmtId="0">
      <sharedItems/>
    </cacheField>
    <cacheField name="بررسی اول" numFmtId="0">
      <sharedItems longText="1"/>
    </cacheField>
    <cacheField name="بررسی دوم" numFmtId="0">
      <sharedItems containsBlank="1" longText="1"/>
    </cacheField>
    <cacheField name="بررسی سوم" numFmtId="0">
      <sharedItems/>
    </cacheField>
    <cacheField name="ریشه ایراد" numFmtId="0">
      <sharedItems/>
    </cacheField>
    <cacheField name="دلیل ایجاد ایراد " numFmtId="0">
      <sharedItems/>
    </cacheField>
    <cacheField name="تعداد قطعات_x000a_ معيوب" numFmtId="0">
      <sharedItems containsSemiMixedTypes="0" containsString="0" containsNumber="1" containsInteger="1" minValue="1" maxValue="150"/>
    </cacheField>
    <cacheField name="شماره فني" numFmtId="0">
      <sharedItems/>
    </cacheField>
    <cacheField name="بارکد محصول" numFmtId="0">
      <sharedItems/>
    </cacheField>
    <cacheField name="تاریخ تحویل قطعه" numFmtId="0">
      <sharedItems/>
    </cacheField>
    <cacheField name="تحویل گیرنده" numFmtId="0">
      <sharedItems/>
    </cacheField>
    <cacheField name="6M" numFmtId="0">
      <sharedItems count="7">
        <s v="روش"/>
        <s v="مواد اولیه"/>
        <s v="نامشخص"/>
        <s v="تجهیزات"/>
        <s v="اپراتور"/>
        <s v="اندازه گیری"/>
        <s v="محیط" u="1"/>
      </sharedItems>
    </cacheField>
    <cacheField name="تجهیزات " numFmtId="0">
      <sharedItems/>
    </cacheField>
    <cacheField name="کد اپراتور" numFmtId="0">
      <sharedItems/>
    </cacheField>
    <cacheField name="وضعیت" numFmtId="0">
      <sharedItems/>
    </cacheField>
    <cacheField name="اقدام تعریف شده" numFmtId="0">
      <sharedItems longText="1"/>
    </cacheField>
    <cacheField name="مدارک"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n v="1"/>
    <s v="-"/>
    <n v="194290"/>
    <s v="1403/01/16"/>
    <s v="1403/01"/>
    <x v="0"/>
    <x v="0"/>
    <s v="NOD"/>
    <s v="NBCM DENA"/>
    <s v="ايراد عملكردي  nbcm   (ليبل تكراري قطعه در تاريخ 1402/12/22 مونتاژ شده) رويت شد"/>
    <s v="ایراد در لیبل"/>
    <s v="-"/>
    <s v="-"/>
    <s v="-"/>
    <s v="-"/>
    <s v="-"/>
    <s v="-"/>
    <s v="-"/>
    <s v="-"/>
    <s v="اشتباه اپراتور خط مشتری"/>
    <s v="اشتباه اپراتور خط مشتری"/>
    <s v="اشتباه اپراتور خط مشتری"/>
    <n v="1"/>
    <s v="IK01403980"/>
    <s v="-"/>
    <s v="1403/02/26"/>
    <s v="کاظمی پور"/>
    <x v="0"/>
    <s v="-"/>
    <s v="-"/>
    <s v="بسته شده"/>
    <s v="-"/>
    <s v="-"/>
  </r>
  <r>
    <n v="1"/>
    <s v="-"/>
    <n v="194407"/>
    <s v="1403/01/19"/>
    <s v="1403/01"/>
    <x v="0"/>
    <x v="0"/>
    <s v="جلو آمپر"/>
    <s v="جلو آمپرSOREN TC 85 گانه"/>
    <s v="ايراد عدم جذب پشت امپر كه طبق بررسي هاي انجام گرفته ايراد فقط در سورس سازه پويش رويت مي گردد به طوريكه در پشت امپر كروز ايراد عدم جذب مشاهده نمي شود كه ايراد به رويت نماينده ساپكو اقاي كثيري رسيد(شكيب)"/>
    <s v="ایراد ظاهری"/>
    <s v="-"/>
    <s v="-"/>
    <s v="-"/>
    <s v="-"/>
    <s v="-"/>
    <s v="-"/>
    <s v="ایراد ظاهری بود رویت شد"/>
    <s v="-"/>
    <s v="بزل"/>
    <s v="ظاهری"/>
    <s v="ایراد در مواد اولیه "/>
    <n v="50"/>
    <s v="IK01033880"/>
    <s v="-"/>
    <s v="-"/>
    <s v="-"/>
    <x v="1"/>
    <s v="-"/>
    <s v="-"/>
    <s v="بسته شده"/>
    <s v="-"/>
    <s v="-"/>
  </r>
  <r>
    <n v="1"/>
    <s v="-"/>
    <n v="194427"/>
    <s v="1403/01/19"/>
    <s v="1403/01"/>
    <x v="0"/>
    <x v="0"/>
    <s v="جلو آمپر"/>
    <s v="جلو آمپر دنا اتوماتیک"/>
    <s v="عطف به اسلايد2 فايل پيوست نتيجه گزارش دريافت شده از تستهاي دوره اي قطعه در اتيراك،عملكرد قطعه در بررسي پس از تست شوك حرارتي صحيح نميباشد."/>
    <s v="عدم عملكرد كامل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0929380"/>
    <s v="-"/>
    <s v="-"/>
    <s v="-"/>
    <x v="2"/>
    <s v="-"/>
    <s v="-"/>
    <s v="بسته شده"/>
    <s v="-"/>
    <s v="-"/>
  </r>
  <r>
    <n v="1"/>
    <s v="-"/>
    <n v="194486"/>
    <s v="1403/01/21"/>
    <s v="1403/01"/>
    <x v="0"/>
    <x v="0"/>
    <s v="NOD"/>
    <s v="NBCM 207"/>
    <s v="ايراد عملكرد نادرست NBCM( مغايرت كانكتورنصب اشتباه)يك نمونه رويت شد"/>
    <s v="کانکتور"/>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596980"/>
    <s v="-"/>
    <s v="-"/>
    <s v="-"/>
    <x v="2"/>
    <s v="-"/>
    <s v="-"/>
    <s v="بسته شده"/>
    <s v="-"/>
    <s v="-"/>
  </r>
  <r>
    <n v="1"/>
    <s v="-"/>
    <n v="194549"/>
    <s v="1403/01/21"/>
    <s v="1403/01"/>
    <x v="0"/>
    <x v="0"/>
    <s v="جلو آمپر"/>
    <s v="جلو آمپر دنا اتوماتیک"/>
    <s v="طي بررسي بعمل آمده ايراد عملكرد آمپر صفحه نمايشگر يك نمونه رويت گرديد"/>
    <s v="LCD"/>
    <s v="NOK"/>
    <s v="1403/04/11"/>
    <s v="-"/>
    <s v="-"/>
    <s v="-"/>
    <s v="-"/>
    <s v="LCD معیوب"/>
    <s v="تحویل مهندس رحمانی پور"/>
    <s v="LCD"/>
    <s v="قطعه معیوب"/>
    <s v="ایراد در مواد اولیه "/>
    <n v="1"/>
    <s v="IK00929380"/>
    <s v="RJAD2F10160269"/>
    <s v="1403/04/11"/>
    <s v="کاظمی پور"/>
    <x v="1"/>
    <s v="-"/>
    <s v="-"/>
    <s v="بسته شده"/>
    <s v="-"/>
    <s v="-"/>
  </r>
  <r>
    <n v="1"/>
    <s v="-"/>
    <n v="194583"/>
    <s v="1403/01/23"/>
    <s v="1403/01"/>
    <x v="0"/>
    <x v="0"/>
    <s v="NOD"/>
    <s v="NBCM DENA"/>
    <s v="ايرادعدم عملكرد NBCM( عدم عملكرد كامل)يك نمونه رويت شد"/>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403980"/>
    <s v="-"/>
    <s v="-"/>
    <s v="-"/>
    <x v="2"/>
    <s v="-"/>
    <s v="-"/>
    <s v="بسته شده"/>
    <s v="-"/>
    <s v="-"/>
  </r>
  <r>
    <n v="1"/>
    <s v="-"/>
    <n v="194584"/>
    <s v="1403/01/23"/>
    <s v="1403/01"/>
    <x v="0"/>
    <x v="0"/>
    <s v="جلو آمپر"/>
    <s v="جلو آمپر207  معمولی85 گانه"/>
    <s v="ايرادليبل تكراري آمپرخودرو207يك نمونه رويت شد"/>
    <s v="ایراد در لیبل"/>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033680"/>
    <s v="-"/>
    <s v="-"/>
    <s v="-"/>
    <x v="2"/>
    <s v="-"/>
    <s v="-"/>
    <s v="بسته شده"/>
    <s v="-"/>
    <s v="-"/>
  </r>
  <r>
    <n v="1"/>
    <s v="-"/>
    <n v="194773"/>
    <s v="1403/01/27"/>
    <s v="1403/01"/>
    <x v="0"/>
    <x v="0"/>
    <s v="NOD"/>
    <s v="NBCM 207"/>
    <s v="ايرادعدم عملكرد NBCM( عدم عملكرد كامل اتصالي ادوات برقي )يك نمونه رويت شد"/>
    <s v="عدم عملكرد ادوات برقي خودرو "/>
    <s v="NOK"/>
    <s v="1403/02/26"/>
    <s v="-"/>
    <s v="-"/>
    <s v="-"/>
    <s v="-"/>
    <s v="آثار فلکس بر روی pcb "/>
    <s v="اتصالی اهمی"/>
    <s v="برد"/>
    <s v="اتصالی"/>
    <s v="عدم عملکرد صحیح صفحه گرمایشی"/>
    <n v="1"/>
    <s v="IK01596980"/>
    <s v="RU827F10162125"/>
    <s v="1403/02/26"/>
    <s v="کاظمی پور"/>
    <x v="3"/>
    <s v="وان قلع"/>
    <s v="-"/>
    <s v="بسته شده"/>
    <s v="-"/>
    <s v="-"/>
  </r>
  <r>
    <n v="1"/>
    <s v="-"/>
    <n v="194942"/>
    <s v="1403/02/01"/>
    <s v="1403/02"/>
    <x v="1"/>
    <x v="0"/>
    <s v="جلو آمپر"/>
    <s v="جلو آمپر دنا اتوماتیک"/>
    <s v="ايرادعدم عملكردآمپرخودرو دنا(صفحه نمايشگر)يك نمونه رويت شد"/>
    <s v="LCD"/>
    <s v="OK"/>
    <s v="1403/02/26"/>
    <s v="NOK"/>
    <s v="1403/03/13"/>
    <s v="-"/>
    <s v="-"/>
    <s v="LCD در تست خودرویی خاموش"/>
    <s v="تحویل مهندس لهراسبی"/>
    <s v="LCD"/>
    <s v="قطعه معیوب"/>
    <s v="ایراد در مواد اولیه "/>
    <n v="1"/>
    <s v="IK00929380"/>
    <s v="RJAD2F10270105"/>
    <s v="1403/02/26"/>
    <s v="کاظمی پور"/>
    <x v="1"/>
    <s v="-"/>
    <s v="-"/>
    <s v="بسته شده"/>
    <s v="-"/>
    <s v="-"/>
  </r>
  <r>
    <n v="1"/>
    <s v="-"/>
    <n v="194984"/>
    <s v="1403/02/01"/>
    <s v="1403/02"/>
    <x v="1"/>
    <x v="0"/>
    <s v="NOD"/>
    <s v="NBCM 207"/>
    <s v="ايراد عملكردي NBCM( عدم عملكرد سايد لمپ )يك نمونه رويت شد"/>
    <s v="عدم عملكرد ادوات برقي خودرو "/>
    <s v="NOK"/>
    <s v="1403/02/26"/>
    <s v="-"/>
    <s v="-"/>
    <s v="-"/>
    <s v="-"/>
    <s v="-"/>
    <s v="کمبود قلع پد تغذیه BTS"/>
    <s v="IC BTS"/>
    <s v="کمبود قلع "/>
    <s v="مسدود بودن بخشی از سوراخ استنسیل و کامل نشدن مرحله چاپ قلع"/>
    <n v="1"/>
    <s v="IK01596980"/>
    <s v="RU827F10282114"/>
    <s v="1403/02/26"/>
    <s v="کاظمی پور"/>
    <x v="3"/>
    <s v="SCREEN PRINTER"/>
    <s v="-"/>
    <s v="بسته شده"/>
    <s v="-"/>
    <s v="-"/>
  </r>
  <r>
    <n v="1"/>
    <s v="-"/>
    <n v="194985"/>
    <s v="1403/02/01"/>
    <s v="1403/02"/>
    <x v="1"/>
    <x v="0"/>
    <s v="جلو آمپر"/>
    <s v="جلو آمپر207 اتوماتیک85 گانه"/>
    <s v="ايرادعدم عملكردآمپرخودرو207(عدم نمايش دماسنج)يك نمونه رويت شد"/>
    <s v="عدم عملكرد ادوات برقي خودرو "/>
    <s v="NOK"/>
    <s v="1403/02/26"/>
    <s v="-"/>
    <s v="-"/>
    <s v="-"/>
    <s v="-"/>
    <s v="جدا شدن ترانزیستور "/>
    <s v="آثار ضربه بر روی ترانزیستور مشهود است"/>
    <s v="ترانزیستور"/>
    <s v="کنده شدن قطعه"/>
    <s v="بر اثر جابجایی"/>
    <n v="1"/>
    <s v="IK01917980"/>
    <s v="RJA24F10140015"/>
    <s v="1403/02/26"/>
    <s v="کاظمی پور"/>
    <x v="0"/>
    <s v="-"/>
    <s v="-"/>
    <s v="بسته شده"/>
    <s v="-"/>
    <s v="-"/>
  </r>
  <r>
    <n v="1"/>
    <s v="-"/>
    <n v="194986"/>
    <s v="1403/02/01"/>
    <s v="1403/02"/>
    <x v="1"/>
    <x v="0"/>
    <s v="NOD"/>
    <s v="NBCM DENA"/>
    <s v="ايراد مغايرت ليبل رديابي NBCM( ناخوانا بودن كه مربوط به توليد204 روز  ) رويت شد"/>
    <s v="ایراد در لیبل"/>
    <s v="-"/>
    <s v="-"/>
    <s v="-"/>
    <s v="-"/>
    <s v="-"/>
    <s v="-"/>
    <s v="-"/>
    <s v="-"/>
    <s v="محصول"/>
    <s v="چاپ نامناسب لیبل"/>
    <s v="ایراد در ریبون پرینتر"/>
    <n v="3"/>
    <s v="IK01403980"/>
    <s v="-"/>
    <s v="-"/>
    <s v="-"/>
    <x v="3"/>
    <s v="پرینتر"/>
    <s v="-"/>
    <s v="بسته شده"/>
    <s v="-"/>
    <s v="-"/>
  </r>
  <r>
    <n v="1"/>
    <s v="-"/>
    <n v="195015"/>
    <s v="1403/02/01"/>
    <s v="1403/02"/>
    <x v="1"/>
    <x v="0"/>
    <s v="جلو آمپر"/>
    <s v="جلو آمپر دنا اتوماتیک"/>
    <s v="ايرادظاهري آمپرخودرودنا(دفرمگي بزل دور موتور)يك نمونه رويت شد"/>
    <s v="ایراد ظاهری"/>
    <s v="-"/>
    <s v="-"/>
    <s v="-"/>
    <s v="-"/>
    <s v="-"/>
    <s v="-"/>
    <s v="ایراد ظاهری بود رویت شد"/>
    <s v="-"/>
    <s v="بزل"/>
    <s v="ظاهری"/>
    <s v="ایراد در مواد اولیه "/>
    <n v="1"/>
    <s v="IK00929380"/>
    <s v="RJAD2F10270437"/>
    <s v="1403/02/26"/>
    <s v="کاظمی پور"/>
    <x v="1"/>
    <s v="-"/>
    <s v="-"/>
    <s v="بسته شده"/>
    <s v="-"/>
    <s v="-"/>
  </r>
  <r>
    <n v="1"/>
    <s v="-"/>
    <n v="195073"/>
    <s v="1403/02/02"/>
    <s v="1403/02"/>
    <x v="1"/>
    <x v="0"/>
    <s v="NOD"/>
    <s v="NBCM DENA"/>
    <s v="ايراد مغايرت ليبل رديابي NBCM(عدم عملكرد كامل روشن نشدن خودرو ) رويت شد"/>
    <s v=" روشن نشدن خودرو"/>
    <s v="OK"/>
    <s v="1403/02/26"/>
    <s v="-"/>
    <s v="-"/>
    <s v="-"/>
    <s v="-"/>
    <s v="PCB چینی"/>
    <s v="تست خودرویی"/>
    <s v="PCB"/>
    <s v="نامشخص"/>
    <s v="نامشخص"/>
    <n v="1"/>
    <s v="IK01403980"/>
    <s v="RU8D1F10232076"/>
    <s v="1403/02/26"/>
    <s v="کاظمی پور"/>
    <x v="0"/>
    <s v="-"/>
    <s v="-"/>
    <s v="بسته شده"/>
    <s v="-"/>
    <s v="-"/>
  </r>
  <r>
    <n v="1"/>
    <s v="-"/>
    <n v="195174"/>
    <s v="1403/02/04"/>
    <s v="1403/02"/>
    <x v="1"/>
    <x v="0"/>
    <s v="جلو آمپر"/>
    <s v="جلو آمپر207  معمولی85 گانه"/>
    <s v="ايرادعملكردي آمپرخودرو207(عدم عملكردنگيني كروز كنترل)يك نمونه رويت شد"/>
    <s v="عملکرد نگینی(لوگو)"/>
    <s v="NOK"/>
    <s v="1403/03/02"/>
    <s v="-"/>
    <s v="-"/>
    <s v="-"/>
    <s v="-"/>
    <s v="شکسته شدن LCD به علت افتادن درب فیکسچر خم کردن هولدر LCD"/>
    <s v="-"/>
    <s v="LCD"/>
    <s v="قطعه معیوب"/>
    <s v="قطعه شکسته"/>
    <n v="1"/>
    <s v="IK01033680"/>
    <s v="RJA32F10320537"/>
    <s v="1403/03/02"/>
    <s v="کاظمی پور"/>
    <x v="3"/>
    <s v="فیکسچر خم کردن هولدر"/>
    <s v="-"/>
    <s v="بسته شده"/>
    <s v="-"/>
    <s v="-"/>
  </r>
  <r>
    <n v="1"/>
    <s v="-"/>
    <n v="195199"/>
    <s v="1403/02/04"/>
    <s v="1403/02"/>
    <x v="1"/>
    <x v="0"/>
    <s v="جلو آمپر"/>
    <s v="جلو آمپر تارا اتوماتیک"/>
    <s v="ايرادعملكردي آمپرخودرو تارا(عدم عملكردصفحه نمايشگر)يك نمونه رويت شد"/>
    <s v="LCD"/>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348180"/>
    <s v="-"/>
    <s v="-"/>
    <s v="-"/>
    <x v="2"/>
    <s v="-"/>
    <s v="-"/>
    <s v="بسته شده"/>
    <s v="-"/>
    <s v="-"/>
  </r>
  <r>
    <n v="1"/>
    <s v="-"/>
    <n v="195215"/>
    <s v="1403/02/05"/>
    <s v="1403/02"/>
    <x v="1"/>
    <x v="0"/>
    <s v="NOD"/>
    <s v="NBCM TARA"/>
    <s v="عدم اعلام  اخطار  هشدار كمبربند ايمني و دنده عقب"/>
    <s v="عدم اعلام  اخطار  هشدار(بازر)"/>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262380"/>
    <s v="-"/>
    <s v="-"/>
    <s v="-"/>
    <x v="2"/>
    <s v="-"/>
    <s v="-"/>
    <s v="بسته شده"/>
    <s v="-"/>
    <s v="-"/>
  </r>
  <r>
    <n v="1"/>
    <s v="-"/>
    <n v="195277"/>
    <s v="1403/02/08"/>
    <s v="1403/02"/>
    <x v="1"/>
    <x v="0"/>
    <s v="NOD"/>
    <s v="NBCM TARA"/>
    <s v="ايراد عملكردي NBCM(عدم عملكرد بازر ) رويت شد"/>
    <s v="عدم اعلام  اخطار  هشدار(بازر)"/>
    <s v="NOK"/>
    <s v="1403/03/02"/>
    <s v="-"/>
    <s v="-"/>
    <s v="-"/>
    <s v="-"/>
    <s v="جدا شدن پد رله "/>
    <s v="-"/>
    <s v="رله"/>
    <s v="کنده شدن قطعه"/>
    <s v="بر اثر جابجایی"/>
    <n v="1"/>
    <s v="IK01262380"/>
    <s v="RU8C1F10204032"/>
    <s v="1403/03/02"/>
    <s v="کاظمی پور"/>
    <x v="0"/>
    <s v="-"/>
    <s v="-"/>
    <s v="بسته شده"/>
    <s v="-"/>
    <s v="-"/>
  </r>
  <r>
    <n v="1"/>
    <s v="-"/>
    <n v="195278"/>
    <s v="1403/02/08"/>
    <s v="1403/02"/>
    <x v="1"/>
    <x v="0"/>
    <s v="جلو آمپر"/>
    <s v="جلو آمپر دنا اتوماتیک"/>
    <s v="ايرادعملكردي آمپرخودرو دنا (عدم عملكردآمپر آب)يك نمونه رويت شد"/>
    <s v="عقربه"/>
    <s v="NOK"/>
    <s v="1403/03/02"/>
    <s v="-"/>
    <s v="-"/>
    <s v="-"/>
    <s v="-"/>
    <s v="قطعی بوبین استپر موتور"/>
    <s v="قطعه استپر موتور تحویل غیاثوند"/>
    <s v="استپر موتور"/>
    <s v="قطعه معیوب"/>
    <s v="ایراد در مواد اولیه "/>
    <n v="1"/>
    <s v="IK00929380"/>
    <s v="-"/>
    <s v="1403/03/02"/>
    <s v="کاظمی پور"/>
    <x v="1"/>
    <s v="-"/>
    <s v="-"/>
    <s v="بسته شده"/>
    <s v="-"/>
    <s v="-"/>
  </r>
  <r>
    <n v="1"/>
    <s v="-"/>
    <n v="195351"/>
    <s v="1403/02/08"/>
    <s v="1403/02"/>
    <x v="1"/>
    <x v="0"/>
    <s v="NOD"/>
    <s v="NBCM TARA"/>
    <s v="گزارش خدمات پس از فروش: در زمان فلاش ، دنده عقب و عدم بستن كمربند آلارم داخل NBCM  كار نمي كند.گزارش پيوست ميباشد."/>
    <s v="عدم اعلام  اخطار  هشدار(بازر)"/>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262380"/>
    <s v="-"/>
    <s v="-"/>
    <s v="-"/>
    <x v="2"/>
    <s v="-"/>
    <s v="-"/>
    <s v="بسته شده"/>
    <s v="-"/>
    <s v="-"/>
  </r>
  <r>
    <n v="1"/>
    <s v="-"/>
    <n v="195609"/>
    <s v="1403/02/20"/>
    <s v="1403/02"/>
    <x v="1"/>
    <x v="0"/>
    <s v="NOD"/>
    <s v="NBCM 207"/>
    <s v="ايراد عملكردي NBCM(عدم عملكرد ريموت) رويت شد"/>
    <s v="عدم عملكرد قفل مركزي/ریموت"/>
    <s v="NOK"/>
    <s v="1403/02/26"/>
    <s v="-"/>
    <s v="-"/>
    <s v="-"/>
    <s v="-"/>
    <s v="قطعه ماژول معیوب"/>
    <s v="قطعه تحویل رحمانی پور"/>
    <s v="ماژول "/>
    <s v="قطعه معیوب"/>
    <s v="ایراد در مواد اولیه "/>
    <n v="1"/>
    <s v="IK01596980"/>
    <s v="RU827F10362155"/>
    <s v="1403/02/26"/>
    <s v="کاظمی پور"/>
    <x v="1"/>
    <s v="-"/>
    <s v="-"/>
    <s v="بسته شده"/>
    <s v="-"/>
    <s v="-"/>
  </r>
  <r>
    <n v="1"/>
    <s v="-"/>
    <n v="195610"/>
    <s v="1403/02/16"/>
    <s v="1403/02"/>
    <x v="1"/>
    <x v="0"/>
    <s v="NOD"/>
    <s v="NBCM 207"/>
    <s v="ايراد عملكردي NBCM(يكسره بوده پمپ شيشه شور عقب) رويت شد"/>
    <s v="عملکرد یکسره ادوات برقی"/>
    <s v="NOK"/>
    <s v="1403/02/26"/>
    <s v="-"/>
    <s v="-"/>
    <s v="-"/>
    <s v="-"/>
    <s v="اتصالی خازن توسط پاشش قلع"/>
    <s v="گوله قلع در فیکسچر"/>
    <s v="خازن"/>
    <s v="اتصالی"/>
    <s v="عملکرد نادرست تجهیز وان قلع"/>
    <n v="1"/>
    <s v="IK01596980"/>
    <s v="RU827F10432045"/>
    <s v="1403/02/26"/>
    <s v="کاظمی پور"/>
    <x v="3"/>
    <s v="وان قلع"/>
    <s v="-"/>
    <s v="بسته شده"/>
    <s v="-"/>
    <s v="-"/>
  </r>
  <r>
    <n v="1"/>
    <s v="-"/>
    <n v="195610"/>
    <s v="1403/02/16"/>
    <s v="1403/02"/>
    <x v="1"/>
    <x v="0"/>
    <s v="NOD"/>
    <s v="NBCM 207"/>
    <s v="ايراد عملكردي NBCM(يكسره بوده پمپ شيشه شور عقب) رويت شد"/>
    <s v="عملکرد یکسره ادوات برقی"/>
    <s v="NOK"/>
    <s v="1403/02/26"/>
    <s v="-"/>
    <s v="-"/>
    <s v="-"/>
    <s v="-"/>
    <s v="اتصالی خازن توسط پاشش قلع"/>
    <s v="گوله قلع در فیکسچر"/>
    <s v="خازن"/>
    <s v="اتصالی"/>
    <s v="عملکرد نادرست تجهیز وان قلع"/>
    <n v="1"/>
    <s v="IK01596980"/>
    <s v="RU827F10501061"/>
    <s v="1403/02/26"/>
    <s v="کاظمی پور"/>
    <x v="3"/>
    <s v="وان قلع"/>
    <s v="-"/>
    <s v="بسته شده"/>
    <s v="-"/>
    <s v="-"/>
  </r>
  <r>
    <n v="1"/>
    <s v="-"/>
    <n v="195610"/>
    <s v="1403/02/16"/>
    <s v="1403/02"/>
    <x v="1"/>
    <x v="0"/>
    <s v="NOD"/>
    <s v="NBCM 207"/>
    <s v="ايراد عملكردي NBCM(يكسره بوده پمپ شيشه شور عقب) رويت شد"/>
    <s v="عملکرد یکسره ادوات برقی"/>
    <s v="NOK"/>
    <s v="1403/02/26"/>
    <s v="-"/>
    <s v="-"/>
    <s v="-"/>
    <s v="-"/>
    <s v="جدا شدن یکی از پایه های L9826"/>
    <s v="آثار پین های فیکسچر ICT مشهود است"/>
    <s v="IC L9826"/>
    <s v="عدم اتصال صحیح پایه(IC)"/>
    <s v="جایگذاری نادرست pcb در فیکسچر"/>
    <n v="1"/>
    <s v="IK01596980"/>
    <s v="RU827F10192113"/>
    <s v="1403/02/26"/>
    <s v="کاظمی پور"/>
    <x v="4"/>
    <s v="-"/>
    <s v="نامشخص"/>
    <s v="بسته شده"/>
    <s v="-"/>
    <s v="-"/>
  </r>
  <r>
    <n v="1"/>
    <s v="-"/>
    <n v="195610"/>
    <s v="1403/02/16"/>
    <s v="1403/02"/>
    <x v="1"/>
    <x v="0"/>
    <s v="NOD"/>
    <s v="NBCM 207"/>
    <s v="ايراد عملكردي NBCM(يكسره بوده پمپ شيشه شور عقب) رويت شد"/>
    <s v="عملکرد یکسره ادوات برقی"/>
    <s v="NOK"/>
    <s v="1403/02/26"/>
    <s v="-"/>
    <s v="-"/>
    <s v="-"/>
    <s v="-"/>
    <s v="اتصالی خازن توسط پاشش قلع"/>
    <s v="گوله قلع در فیکسچر"/>
    <s v="خازن"/>
    <s v="اتصالی"/>
    <s v="عملکرد نادرست تجهیز وان قلع"/>
    <n v="1"/>
    <s v="IK01596980"/>
    <s v="RU827F10492099"/>
    <s v="1403/02/26"/>
    <s v="کاظمی پور"/>
    <x v="3"/>
    <s v="وان قلع"/>
    <s v="-"/>
    <s v="بسته شده"/>
    <s v="-"/>
    <s v="-"/>
  </r>
  <r>
    <n v="1"/>
    <s v="-"/>
    <n v="195610"/>
    <s v="1403/02/16"/>
    <s v="1403/02"/>
    <x v="1"/>
    <x v="0"/>
    <s v="NOD"/>
    <s v="NBCM 207"/>
    <s v="ايراد عملكردي NBCM(يكسره بوده پمپ شيشه شور عقب) رويت شد"/>
    <s v="عملکرد یکسره ادوات برقی"/>
    <s v="OK"/>
    <s v="1403/02/26"/>
    <s v="-"/>
    <s v="-"/>
    <s v="-"/>
    <s v="-"/>
    <s v="اتصالی خازن توسط پاشش قلع"/>
    <s v="گوله قلع در فیکسچر"/>
    <s v="خازن"/>
    <s v="اتصالی"/>
    <s v="عملکرد نادرست تجهیز وان قلع"/>
    <n v="1"/>
    <s v="IK01596980"/>
    <s v="RU827F10340094"/>
    <s v="1403/02/26"/>
    <s v="کاظمی پور"/>
    <x v="3"/>
    <s v="وان قلع"/>
    <s v="-"/>
    <s v="بسته شده"/>
    <s v="-"/>
    <s v="-"/>
  </r>
  <r>
    <n v="1"/>
    <s v="-"/>
    <n v="195770"/>
    <s v="1403/02/20"/>
    <s v="1403/02"/>
    <x v="1"/>
    <x v="0"/>
    <s v="جلو آمپر"/>
    <s v="جلو آمپر دنا اتوماتیک"/>
    <s v="ايرادعملكردي آمپرخودرو تارا (اعداد ناقص نمايشگر)دو نمونه رويت شد"/>
    <s v="LCD"/>
    <s v="NOK"/>
    <s v="1403/03/02"/>
    <s v="-"/>
    <s v="-"/>
    <s v="-"/>
    <s v="-"/>
    <s v="نمایش ناقص LCD"/>
    <s v="لوگو برف ناقص"/>
    <s v="LCD"/>
    <s v="قطعه معیوب"/>
    <s v="ایراد در مواد اولیه "/>
    <n v="2"/>
    <s v="IK00929380"/>
    <s v="-"/>
    <s v="1403/03/02"/>
    <s v="کاظمی پور"/>
    <x v="1"/>
    <s v="-"/>
    <s v="-"/>
    <s v="بسته شده"/>
    <s v="-"/>
    <s v="-"/>
  </r>
  <r>
    <n v="1"/>
    <s v="-"/>
    <n v="195792"/>
    <s v="1403/02/20"/>
    <s v="1403/02"/>
    <x v="1"/>
    <x v="0"/>
    <s v="NOD"/>
    <s v="NBCM TARA SAL"/>
    <s v="ايراد عملكردي NBCM(مغايرت ورژن4/30) رويت شد"/>
    <s v="ورژن"/>
    <s v="NOK"/>
    <s v="1403/03/02"/>
    <s v="-"/>
    <s v="-"/>
    <s v="-"/>
    <s v="-"/>
    <s v="ارسال اشتباه توسط واحد R&amp;D"/>
    <s v="-"/>
    <s v="محصول"/>
    <s v="ارسال ورژن تحقیقاتی توسط واحد R&amp;D"/>
    <s v="عدم هماهنگی جهت ارسال و استفاده از ورژن تحقیقاتی"/>
    <n v="150"/>
    <s v="IK01843080"/>
    <s v="-"/>
    <s v="-"/>
    <s v="-"/>
    <x v="0"/>
    <s v="-"/>
    <s v="-"/>
    <s v="بسته شده"/>
    <s v="-"/>
    <s v="-"/>
  </r>
  <r>
    <n v="1"/>
    <s v="-"/>
    <n v="195868"/>
    <s v="1403/02/22"/>
    <s v="1403/02"/>
    <x v="1"/>
    <x v="0"/>
    <s v="جلو آمپر"/>
    <s v="جلو آمپر دنا ST"/>
    <s v="ايرادعملكردي آمپرخودرو 207 (نگيني ايربگ)يك نمونه رويت شد"/>
    <s v="عملکرد نگینی(لوگو)"/>
    <s v="NOK"/>
    <s v="1403/03/02"/>
    <s v="-"/>
    <s v="-"/>
    <s v="-"/>
    <s v="-"/>
    <s v="اتصالی کانکتور 18 پین"/>
    <s v="-"/>
    <s v="کانکتور 18 پین"/>
    <s v="اتصالی"/>
    <s v="ایراد در مواد اولیه "/>
    <n v="1"/>
    <s v="IK00843780"/>
    <s v="RJA32F10490235"/>
    <s v="1403/03/02"/>
    <s v="کاظمی پور"/>
    <x v="1"/>
    <s v="-"/>
    <s v="جوادی"/>
    <s v="بسته شده"/>
    <s v="-"/>
    <s v="-"/>
  </r>
  <r>
    <n v="1"/>
    <s v="-"/>
    <n v="195950"/>
    <s v="1403/02/24"/>
    <s v="1403/02"/>
    <x v="1"/>
    <x v="0"/>
    <s v="NOD"/>
    <s v="NBCM TARA"/>
    <s v="ايراد عملكردي NBCM(عمكلكرد بازر) رويت شد"/>
    <s v="عدم اعلام  اخطار  هشدار(بازر)"/>
    <s v="NOK"/>
    <s v="1403/03/02"/>
    <s v="-"/>
    <s v="-"/>
    <s v="-"/>
    <s v="-"/>
    <s v="نبودقطعه بازر"/>
    <s v="-"/>
    <s v="بازر"/>
    <s v="نبودقطعه "/>
    <s v="عدم دقت اپراتور"/>
    <n v="2"/>
    <s v="IK01262380"/>
    <s v="RU8T1F110444009"/>
    <s v="1403/03/02"/>
    <s v="کاظمی پور"/>
    <x v="4"/>
    <s v="-"/>
    <s v="گورانی،عزت یار"/>
    <s v="بسته شده"/>
    <s v="-"/>
    <s v="-"/>
  </r>
  <r>
    <n v="1"/>
    <s v="-"/>
    <n v="195950"/>
    <s v="1403/02/24"/>
    <s v="1403/02"/>
    <x v="1"/>
    <x v="0"/>
    <s v="NOD"/>
    <s v="NBCM TARA"/>
    <s v="ايراد عملكردي NBCM(عمكلكرد بازر) رويت شد"/>
    <s v="عدم اعلام  اخطار  هشدار(بازر)"/>
    <s v="NOK"/>
    <s v="1403/03/02"/>
    <s v="-"/>
    <s v="-"/>
    <s v="-"/>
    <s v="-"/>
    <s v="نبودقطعه بازر"/>
    <s v="-"/>
    <s v="بازر"/>
    <s v="نبودقطعه "/>
    <s v="عدم دقت اپراتور"/>
    <n v="2"/>
    <s v="IK01262380"/>
    <s v="RU8T1F1104440001"/>
    <s v="1403/03/02"/>
    <s v="کاظمی پور"/>
    <x v="4"/>
    <s v="-"/>
    <s v="گورانی،عزت یار"/>
    <s v="بسته شده"/>
    <s v="-"/>
    <s v="-"/>
  </r>
  <r>
    <n v="1"/>
    <s v="-"/>
    <n v="196457"/>
    <s v="1403/03/01"/>
    <s v="1403/03"/>
    <x v="2"/>
    <x v="0"/>
    <s v="جلو آمپر"/>
    <s v="جلو آمپر207  معمولی85 گانه"/>
    <s v="ايرادعملكردي آمپرخودرو تارا (عملكرد ناقص صفحه نمايشگر)يك نمونه رويت شد"/>
    <s v="LCD"/>
    <s v="OK"/>
    <s v="1403/03/21"/>
    <s v="-"/>
    <s v="-"/>
    <s v="-"/>
    <s v="-"/>
    <s v="تست خودرویی"/>
    <s v="-"/>
    <s v="LCD"/>
    <s v="قطعه معیوب"/>
    <s v="ایراد در مواد اولیه "/>
    <n v="2"/>
    <s v="IK01033680"/>
    <s v="-"/>
    <s v="1403/03/21"/>
    <s v="کاظمی پور"/>
    <x v="1"/>
    <s v="-"/>
    <s v="-"/>
    <s v="بسته شده"/>
    <s v="-"/>
    <s v="-"/>
  </r>
  <r>
    <n v="1"/>
    <s v="-"/>
    <n v="196490"/>
    <s v="1403/03/01"/>
    <s v="1403/03"/>
    <x v="2"/>
    <x v="0"/>
    <s v="جلو آمپر"/>
    <s v="جلو آمپر تارا دستی"/>
    <s v="ايرادعملكردي آمپرخودرو 207 (عدم عملكرد كامل)يك نمونه رويت شد"/>
    <s v="عقربه"/>
    <s v="NOK"/>
    <s v="1403/03/21"/>
    <s v="-"/>
    <s v="-"/>
    <s v="-"/>
    <s v="-"/>
    <s v="معیوب بودن قطعه کریستال"/>
    <s v="-"/>
    <s v="کریستال"/>
    <s v="قطعه معیوب"/>
    <s v="ایراد در مواد اولیه "/>
    <n v="1"/>
    <s v="IK01288780"/>
    <s v="RJA32F10550164"/>
    <s v="1403/03/21"/>
    <s v="کاظمی پور"/>
    <x v="1"/>
    <s v="-"/>
    <s v="-"/>
    <s v="بسته شده"/>
    <s v="-"/>
    <s v="-"/>
  </r>
  <r>
    <n v="1"/>
    <s v="-"/>
    <n v="196491"/>
    <s v="1403/03/01"/>
    <s v="1403/03"/>
    <x v="2"/>
    <x v="0"/>
    <s v="NOD"/>
    <s v="NBCM TARA SAL"/>
    <s v="ايراد عملكردي NBCM(يكسره بودن گرمكن شيشه عقب ) رويت شد"/>
    <s v="عملکرد یکسره ادوات برقی"/>
    <s v="NOK"/>
    <s v="1403/03/21"/>
    <s v="-"/>
    <s v="-"/>
    <s v="-"/>
    <s v="-"/>
    <s v="پاشش قلع روی خازن 47N "/>
    <s v="پاشش قلع"/>
    <s v="خازن"/>
    <s v="اتصالی"/>
    <s v="عملکرد نادرست تجهیز وان قلع"/>
    <n v="1"/>
    <s v="IK01843080"/>
    <s v="RU8C1F10583047"/>
    <s v="1403/03/21"/>
    <s v="کاظمی پور"/>
    <x v="3"/>
    <s v="وان قلع"/>
    <s v="-"/>
    <s v="بسته شده"/>
    <s v="-"/>
    <s v="-"/>
  </r>
  <r>
    <n v="1"/>
    <s v="-"/>
    <n v="196551"/>
    <s v="1403/03/03"/>
    <s v="1403/03"/>
    <x v="2"/>
    <x v="0"/>
    <s v="جلو آمپر"/>
    <s v="جلو آمپر207  معمولی85 گانه"/>
    <s v="ايرادصداي اضافه آمپر دنا(لقي زه كرومي دور موتور)يك نمونه رويت شد"/>
    <s v="ایراد ظاهری"/>
    <s v="-"/>
    <s v="-"/>
    <s v="-"/>
    <s v="-"/>
    <s v="-"/>
    <s v="-"/>
    <s v="-"/>
    <s v="-"/>
    <s v="رینگ"/>
    <s v="لقی زه کرومی"/>
    <s v="ایراد در مواد اولیه "/>
    <n v="1"/>
    <s v="IK01033680"/>
    <s v="-"/>
    <s v="-"/>
    <s v="-"/>
    <x v="1"/>
    <s v="-"/>
    <s v="-"/>
    <s v="بسته شده"/>
    <s v="-"/>
    <s v="-"/>
  </r>
  <r>
    <n v="1"/>
    <s v="-"/>
    <n v="196562"/>
    <s v="1403/03/06"/>
    <s v="1403/03"/>
    <x v="2"/>
    <x v="0"/>
    <s v="NOD"/>
    <s v="NBCM TARA"/>
    <s v="عدم تعريف سويچ خودرو ايراد به رويت آقاي مسروري رسانده شد"/>
    <s v="عدم عملكرد قفل مركزي/ریموت"/>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00"/>
    <s v="IK01262380"/>
    <s v="-"/>
    <s v="-"/>
    <s v="-"/>
    <x v="2"/>
    <s v="-"/>
    <s v="-"/>
    <s v="بسته شده"/>
    <s v="-"/>
    <s v="-"/>
  </r>
  <r>
    <n v="1"/>
    <s v="-"/>
    <n v="196698"/>
    <s v="1403/03/07"/>
    <s v="1403/03"/>
    <x v="2"/>
    <x v="0"/>
    <s v="جلو آمپر"/>
    <s v="جلو آمپر تارا اتوماتیک"/>
    <s v="طي بررسي بعمل آمده ايراد عدم عملكرد كامل آمپر يك نمونه رويت گرديد."/>
    <s v="عقربه"/>
    <s v="NOK"/>
    <s v="1403/04/20"/>
    <s v="-"/>
    <s v="-"/>
    <s v="-"/>
    <s v="-"/>
    <s v="کریستال معیوب"/>
    <s v="بردKDJ"/>
    <s v="کریستال"/>
    <s v="قطعه معیوب"/>
    <s v="ایراد در مواد اولیه "/>
    <n v="1"/>
    <s v="IK01348180"/>
    <s v="-"/>
    <s v="1403/04/20"/>
    <s v="کاظمی پور"/>
    <x v="1"/>
    <s v="-"/>
    <s v="-"/>
    <s v="بسته شده"/>
    <s v="-"/>
    <s v="-"/>
  </r>
  <r>
    <n v="1"/>
    <s v="-"/>
    <n v="196759"/>
    <s v="1403/03/08"/>
    <s v="1403/03"/>
    <x v="2"/>
    <x v="0"/>
    <s v="NOD"/>
    <s v="NBCM 207"/>
    <s v="عدم امكان خوانش سريال رديابي نود  مالتي پلكس  داخل اطاق جديد-SR01-SP"/>
    <s v="ایراد در لیبل"/>
    <s v="-"/>
    <s v="-"/>
    <s v="-"/>
    <s v="-"/>
    <s v="-"/>
    <s v="-"/>
    <s v="-"/>
    <s v="-"/>
    <s v="محصول"/>
    <s v="چاپ نامناسب لیبل"/>
    <s v="ایراد در ریبون پرینتر"/>
    <n v="3"/>
    <s v="IK01596980"/>
    <s v="-"/>
    <s v="1403/03/02"/>
    <s v="کاظمی پور"/>
    <x v="3"/>
    <s v="پرینتر"/>
    <s v="-"/>
    <s v="بسته شده"/>
    <s v="-"/>
    <s v="-"/>
  </r>
  <r>
    <n v="1"/>
    <s v="-"/>
    <n v="197142"/>
    <s v="1403/03/17"/>
    <s v="1403/03"/>
    <x v="2"/>
    <x v="0"/>
    <s v="NOD"/>
    <s v="NBCM 207"/>
    <s v="ايراد عملكردي NBCM(قطعي و وصل شدن راهنمايي چپ ) رويت شد"/>
    <s v="عدم عملكرد ادوات برقي خودرو "/>
    <s v="NOK"/>
    <s v="1403/04/10"/>
    <s v="-"/>
    <s v="-"/>
    <s v="-"/>
    <s v="-"/>
    <s v="خارهای محصول شکسته و آثاری مربوط به باز شدن محصول وجود داردآثار ضربه که باعث کج شدن دیود وجود دارد"/>
    <s v="قطعه شکسته(مقاومت) "/>
    <s v="مقاومت"/>
    <s v="قطعه شکسته"/>
    <s v="بر اثر جابجایی"/>
    <n v="1"/>
    <s v="IK01596980"/>
    <s v="-"/>
    <s v="1403/04/10"/>
    <s v="کاظمی پور"/>
    <x v="0"/>
    <s v="-"/>
    <s v="-"/>
    <s v="بسته شده"/>
    <s v="-"/>
    <s v="-"/>
  </r>
  <r>
    <n v="1"/>
    <s v="-"/>
    <n v="197145"/>
    <s v="1403/03/17"/>
    <s v="1403/03"/>
    <x v="2"/>
    <x v="0"/>
    <s v="جلو آمپر"/>
    <s v="جلو آمپر207 اتوماتیک85 گانه"/>
    <s v="طي بررسي بعمل آمده ايراد عملكردنادرست آمپر صفحه نمايشگر  "/>
    <s v="LCD"/>
    <s v="NOK"/>
    <s v="1403/04/11"/>
    <s v="-"/>
    <s v="-"/>
    <s v="-"/>
    <s v="-"/>
    <s v="تحویل مهندس مرزوقی"/>
    <s v="-"/>
    <s v="LCD"/>
    <s v="قطعه معیوب"/>
    <s v="ایراد در مواد اولیه "/>
    <n v="1"/>
    <s v="IK01917980"/>
    <s v="RJA24F10630053"/>
    <s v="1403/04/11"/>
    <s v="کاظمی پور"/>
    <x v="1"/>
    <s v="-"/>
    <s v="-"/>
    <s v="بسته شده"/>
    <s v="-"/>
    <s v="-"/>
  </r>
  <r>
    <n v="1"/>
    <s v="-"/>
    <n v="197145"/>
    <s v="1403/03/17"/>
    <s v="1403/03"/>
    <x v="2"/>
    <x v="0"/>
    <s v="جلو آمپر"/>
    <s v="جلو آمپر207 اتوماتیک85 گانه"/>
    <s v="طي بررسي بعمل آمده ايراد يكسره روشن ماندن نگيني كليد فلاشر نمونه رويت گرديد."/>
    <s v="عملکرد نگینی(لوگو)"/>
    <s v="NOK"/>
    <s v="1403/04/11"/>
    <s v="-"/>
    <s v="-"/>
    <s v="-"/>
    <s v="-"/>
    <s v="اتصالی قطعات SMD  توسط نفر شارژ جلو آمپر"/>
    <s v="عدم دقت نفر کنترل نهایی"/>
    <s v="PCB"/>
    <s v="اتصالی"/>
    <s v="عدم دقت اپراتور"/>
    <n v="1"/>
    <s v="IK01917980"/>
    <s v="RJA24F10630053"/>
    <s v="1403/04/11"/>
    <s v="کاظمی پور"/>
    <x v="4"/>
    <s v="-"/>
    <s v="جانی زاده،فیروزبخت"/>
    <s v="بسته شده"/>
    <s v="-"/>
    <s v="-"/>
  </r>
  <r>
    <n v="1"/>
    <s v="-"/>
    <n v="197215"/>
    <s v="1403/03/20"/>
    <s v="1403/03"/>
    <x v="2"/>
    <x v="0"/>
    <s v="جلو آمپر"/>
    <s v="جلو آمپر207  معمولی85 گانه"/>
    <s v="ايراد عملكرد نادرست آمپر صفحه نمايشگر اعداد ناقص يك نمونه رويت گرديد."/>
    <s v="LCD"/>
    <s v="NOK"/>
    <s v="1403/04/11"/>
    <s v="-"/>
    <s v="-"/>
    <s v="-"/>
    <s v="-"/>
    <s v="LCD معیوب"/>
    <s v="-"/>
    <s v="LCD"/>
    <s v="قطعه معیوب"/>
    <s v="ایراد در مواد اولیه "/>
    <n v="1"/>
    <s v="IK01033680"/>
    <s v="-"/>
    <s v="1403/04/11"/>
    <s v="کاظمی پور"/>
    <x v="1"/>
    <s v="-"/>
    <s v="-"/>
    <s v="بسته شده"/>
    <s v="-"/>
    <s v="-"/>
  </r>
  <r>
    <n v="1"/>
    <s v="-"/>
    <n v="197331"/>
    <s v="1403/03/22"/>
    <s v="1403/03"/>
    <x v="2"/>
    <x v="0"/>
    <s v="جلو آمپر"/>
    <s v="جلو آمپر تارا اتوماتیک"/>
    <s v="طي بررسي بعمل آمده ايراد عدم عملكرد كامل آمپر يك نمونه رويت گرديد."/>
    <s v="عقربه"/>
    <s v="NOK"/>
    <s v="1403/04/16"/>
    <s v="-"/>
    <s v="-"/>
    <s v="-"/>
    <s v="-"/>
    <s v="کریستال معیوب"/>
    <s v="-"/>
    <s v="کریستال"/>
    <s v="قطعه معیوب"/>
    <s v="ایراد در مواد اولیه "/>
    <n v="1"/>
    <s v="IK01348180"/>
    <s v="RJAK1F10770004"/>
    <s v="1403/04/16"/>
    <s v="کاظمی پور"/>
    <x v="1"/>
    <s v="-"/>
    <s v="-"/>
    <s v="بسته شده"/>
    <s v="-"/>
    <s v="-"/>
  </r>
  <r>
    <n v="1"/>
    <s v="-"/>
    <n v="197349"/>
    <s v="1403/03/22"/>
    <s v="1403/03"/>
    <x v="2"/>
    <x v="0"/>
    <s v="جلو آمپر"/>
    <s v="جلو آمپر تارا دستی"/>
    <s v="طي بررسي بعمل آمده ايراد عدم عملكرد(صفحه نمايشگر) يك نمونه رويت گرديد."/>
    <s v="LCD"/>
    <s v="NOK"/>
    <s v="1403/04/20"/>
    <s v="-"/>
    <s v="-"/>
    <s v="-"/>
    <s v="-"/>
    <s v="LCD معیوب"/>
    <s v="تحویل مهندس رحمانی پور"/>
    <s v="LCD"/>
    <s v="قطعه معیوب"/>
    <s v="ایراد در مواد اولیه "/>
    <n v="1"/>
    <s v="IK01288780"/>
    <s v="RJAC1F10750269,0025"/>
    <s v="1403/04/11"/>
    <s v="کاظمی پور"/>
    <x v="1"/>
    <s v="-"/>
    <s v="-"/>
    <s v="بسته شده"/>
    <s v="-"/>
    <s v="-"/>
  </r>
  <r>
    <n v="1"/>
    <s v="-"/>
    <n v="197361"/>
    <s v="1403/03/22"/>
    <s v="1403/03"/>
    <x v="2"/>
    <x v="0"/>
    <s v="NOD"/>
    <s v="NBCM TARA SAL"/>
    <s v="عملكرد نادرست جعبه الكترونيكي يك نمونه رويت گردي عملكرد قفل مركزي بسته شدن دربها در زمان حركت خودرو منجر به بروز ايراد شد"/>
    <s v="عدم عملكرد قفل مركزي/ریموت"/>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843080"/>
    <s v="-"/>
    <s v="-"/>
    <s v="-"/>
    <x v="2"/>
    <s v="-"/>
    <s v="-"/>
    <s v="بسته شده"/>
    <s v="-"/>
    <s v="-"/>
  </r>
  <r>
    <n v="1"/>
    <s v="-"/>
    <n v="197421"/>
    <s v="1403/03/22"/>
    <s v="1403/03"/>
    <x v="2"/>
    <x v="0"/>
    <s v="MFD"/>
    <s v="MFD RUNNA"/>
    <s v="پيرو مراجعه به سالن مونتاژ4 به همراه  نماينده سازنده و در حضور سرگروه شيفت مربوطه يك مورد ايراد  عدم عملكرد قطعه نمايشگر ديجيتالي و پايه نگهدار رويت گرديد.قطعه از نظر ظاهري بررسي و مغايرتي مشاهده نشد با تعويض قطعه ايراد رفع گرديد."/>
    <s v="LCD"/>
    <s v="NOK"/>
    <s v="1403/04/16"/>
    <s v="-"/>
    <s v="-"/>
    <s v="-"/>
    <s v="-"/>
    <s v="LCD معیوب"/>
    <s v="تحویل مهندس رحمانی پور"/>
    <s v="LCD"/>
    <s v="قطعه معیوب"/>
    <s v="ایراد در مواد اولیه "/>
    <n v="1"/>
    <s v="IK00473280"/>
    <s v="RMF91F1055000282"/>
    <s v="1403/04/16"/>
    <s v="کاظمی پور"/>
    <x v="1"/>
    <s v="-"/>
    <s v="-"/>
    <s v="بسته شده"/>
    <s v="-"/>
    <s v="-"/>
  </r>
  <r>
    <n v="1"/>
    <s v="-"/>
    <n v="197569"/>
    <s v="1403/03/26"/>
    <s v="1403/03"/>
    <x v="2"/>
    <x v="0"/>
    <s v="NOD"/>
    <s v="NBCM 207"/>
    <s v="ايراد عملكردي NBCM(كيلومتر شماربالا 34823 ) رويت شد"/>
    <s v="كيلومتر شمار"/>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596980"/>
    <s v="-"/>
    <s v="-"/>
    <s v="-"/>
    <x v="2"/>
    <s v="-"/>
    <s v="-"/>
    <s v="بسته شده"/>
    <s v="-"/>
    <s v="-"/>
  </r>
  <r>
    <n v="1"/>
    <s v="-"/>
    <n v="197571"/>
    <s v="1403/03/26"/>
    <s v="1403/03"/>
    <x v="2"/>
    <x v="0"/>
    <s v="NOD"/>
    <s v="NBCM TARA SAL"/>
    <s v="ايراد عملكردي NBCM(عدم عملكرد روشن نشدن  ) رويت شد"/>
    <s v=" روشن نشدن خودرو"/>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843080"/>
    <s v="-"/>
    <s v="-"/>
    <s v="-"/>
    <x v="2"/>
    <s v="-"/>
    <s v="-"/>
    <s v="بسته شده"/>
    <s v="-"/>
    <s v="-"/>
  </r>
  <r>
    <n v="1"/>
    <s v="-"/>
    <n v="197710"/>
    <s v="1403/03/30"/>
    <s v="1403/03"/>
    <x v="2"/>
    <x v="0"/>
    <s v="جلو آمپر"/>
    <s v="جلو آمپر دنا ST"/>
    <s v="ايراد عملكردآمپر(عقربه كيلومتر شمار60) يك نمونه رويت گرديد."/>
    <s v="عقربه"/>
    <s v="NOK"/>
    <s v="1403/04/20"/>
    <s v="-"/>
    <s v="-"/>
    <s v="-"/>
    <s v="-"/>
    <s v="گیر استپر موتور"/>
    <s v="تحویل مهندس رحمانی پور"/>
    <s v="استپر موتور"/>
    <s v="قطعه معیوب"/>
    <s v="ایراد در مواد اولیه "/>
    <n v="1"/>
    <s v="IK00843780"/>
    <s v="-"/>
    <s v="1403/04/20"/>
    <s v="کاظمی پور"/>
    <x v="1"/>
    <s v="-"/>
    <s v="-"/>
    <s v="بسته شده"/>
    <s v="-"/>
    <s v="-"/>
  </r>
  <r>
    <n v="1"/>
    <s v="-"/>
    <n v="197751"/>
    <s v="1403/03/30"/>
    <s v="1403/03"/>
    <x v="2"/>
    <x v="0"/>
    <s v="جلو آمپر"/>
    <s v="جلو آمپر207  معمولی85 گانه"/>
    <s v="ايراد عملكردآمپر(عدم عملكرد كولر) يك نمونه رويت گرديد."/>
    <s v="عدم عملكرد ادوات برقي خودرو "/>
    <s v="OK"/>
    <s v="1403/04/20"/>
    <s v="-"/>
    <s v="-"/>
    <s v="-"/>
    <s v="-"/>
    <s v="اتصالی قطعات SMD  توسط نفر شارژ جلو آمپر"/>
    <s v="-"/>
    <s v="PCB"/>
    <s v="اتصالی"/>
    <s v="عدم دقت اپراتور"/>
    <n v="1"/>
    <s v="IK01033680"/>
    <s v="-"/>
    <s v="1403/04/20"/>
    <s v="کاظمی پور"/>
    <x v="4"/>
    <s v="-"/>
    <s v="فریدونی"/>
    <s v="بسته شده"/>
    <s v="-"/>
    <s v="-"/>
  </r>
  <r>
    <n v="1"/>
    <s v="-"/>
    <n v="197915"/>
    <s v="1403/04/03"/>
    <s v="1403/04"/>
    <x v="3"/>
    <x v="0"/>
    <s v="جلو آمپر"/>
    <s v="جلو آمپر تارا اتوماتیک"/>
    <s v="ايراد عملكردآمپر(كاليبره نبودن عقربه دور موتور) يك نمونه رويت گرديد."/>
    <s v="عقربه"/>
    <s v="NOK"/>
    <s v="1403/04/16"/>
    <s v="-"/>
    <s v="-"/>
    <s v="-"/>
    <s v="-"/>
    <s v="گیر استپر موتور"/>
    <s v="تحویل مهندس رحمانی پور"/>
    <s v="استپر موتور"/>
    <s v="قطعه معیوب"/>
    <s v="ایراد در مواد اولیه "/>
    <n v="1"/>
    <s v="IK01348180"/>
    <s v="RJAK1F10910186"/>
    <s v="1403/04/16"/>
    <s v="کاظمی پور"/>
    <x v="1"/>
    <s v="-"/>
    <s v="-"/>
    <s v="بسته شده"/>
    <s v="-"/>
    <s v="-"/>
  </r>
  <r>
    <n v="1"/>
    <s v="-"/>
    <n v="198240"/>
    <s v="1403/04/10"/>
    <s v="1403/04"/>
    <x v="3"/>
    <x v="0"/>
    <s v="جلو آمپر"/>
    <s v="جلو آمپر207 اتوماتیک85 گانه"/>
    <s v="ايراد عملكردآمپر(عدم عملكرد صفحه نمايشگرناقص) دو نمونه رويت گرديد."/>
    <s v="LCD"/>
    <s v="NOK"/>
    <s v="1403/05/29"/>
    <s v="-"/>
    <s v="-"/>
    <s v="-"/>
    <s v="-"/>
    <s v="LCD محو"/>
    <s v="LCD تحویل رحمانی پور"/>
    <s v="LCD"/>
    <s v="قطعه معیوب"/>
    <s v="ایراد در مواد اولیه "/>
    <n v="2"/>
    <s v="IK01917980"/>
    <s v="RJA24F10810157"/>
    <s v="1403/05/17"/>
    <s v="کاظمی پور"/>
    <x v="1"/>
    <s v="-"/>
    <s v="-"/>
    <s v="بسته شده"/>
    <s v="-"/>
    <s v="-"/>
  </r>
  <r>
    <n v="1"/>
    <s v="-"/>
    <n v="198240"/>
    <s v="1403/04/10"/>
    <s v="1403/04"/>
    <x v="3"/>
    <x v="0"/>
    <s v="جلو آمپر"/>
    <s v="جلو آمپر207 اتوماتیک85 گانه"/>
    <s v="ايراد عملكردآمپر(عدم عملكرد صفحه نمايشگرناقص) دو نمونه رويت گرديد."/>
    <s v="LCD"/>
    <s v="NOK"/>
    <s v="1403/05/29"/>
    <s v="-"/>
    <s v="-"/>
    <s v="-"/>
    <s v="-"/>
    <s v="LCD محو"/>
    <s v="فلت بصورت کامل جا نخورده بود"/>
    <s v="LCD"/>
    <s v="اتصال نامناسب فلتLCD"/>
    <s v="عدم دقت اپراتور"/>
    <n v="2"/>
    <s v="IK01917980"/>
    <s v="RJA24F10810142"/>
    <s v="1403/05/17"/>
    <s v="کاظمی پور"/>
    <x v="4"/>
    <s v="-"/>
    <s v="شریفی"/>
    <s v="بسته شده"/>
    <s v="-"/>
    <s v="-"/>
  </r>
  <r>
    <n v="1"/>
    <s v="-"/>
    <n v="198333"/>
    <s v="1403/04/12"/>
    <s v="1403/04"/>
    <x v="3"/>
    <x v="0"/>
    <s v="NOD"/>
    <s v="NBCM 207"/>
    <s v="ايراد عملكردي NBCM(عملكرد ريموت ) يك نمونه رويت شد"/>
    <s v="عدم عملكرد قفل مركزي/ریموت"/>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596980"/>
    <s v="RU827F10704212"/>
    <s v="-"/>
    <s v="-"/>
    <x v="2"/>
    <s v="-"/>
    <s v="-"/>
    <s v="بسته شده"/>
    <s v="-"/>
    <s v="-"/>
  </r>
  <r>
    <n v="1"/>
    <s v="-"/>
    <n v="198358"/>
    <s v="1403/04/14"/>
    <s v="1403/04"/>
    <x v="3"/>
    <x v="0"/>
    <s v="NOD"/>
    <s v="NBCM 207"/>
    <s v="تكرار بالاي ايراد مونتاژ ناقص جعبه الكترونيكي روي براكت رويت گرديد ."/>
    <s v=" براکت"/>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00"/>
    <s v="IK01596980"/>
    <s v="-"/>
    <s v="-"/>
    <s v="-"/>
    <x v="2"/>
    <s v="-"/>
    <s v="-"/>
    <s v="بسته شده"/>
    <s v="-"/>
    <s v="-"/>
  </r>
  <r>
    <n v="1"/>
    <s v="-"/>
    <n v="198376"/>
    <s v="1403/04/14"/>
    <s v="1403/04"/>
    <x v="3"/>
    <x v="0"/>
    <s v="NOD"/>
    <s v="NBCM 207"/>
    <s v="ايراد مغايرت NBCM(ناخوانا بودن ليبل رديابي)  رويت شد"/>
    <s v="ایراد در لیبل"/>
    <s v="-"/>
    <s v="-"/>
    <s v="-"/>
    <s v="-"/>
    <s v="-"/>
    <s v="-"/>
    <s v="-"/>
    <s v="-"/>
    <s v="محصول"/>
    <s v="چاپ نامناسب لیبل"/>
    <s v="ایراد در ریبون پرینتر"/>
    <n v="5"/>
    <s v="IK01596980"/>
    <s v="-"/>
    <s v="-"/>
    <s v="-"/>
    <x v="3"/>
    <s v="پرینتر"/>
    <s v="-"/>
    <s v="بسته شده"/>
    <s v="-"/>
    <s v="-"/>
  </r>
  <r>
    <n v="1"/>
    <s v="-"/>
    <n v="198574"/>
    <s v="1403/04/17"/>
    <s v="1403/04"/>
    <x v="3"/>
    <x v="0"/>
    <s v="کلید شیشه بالابر"/>
    <s v="کلید شیشه بالابر جلو راست سورن"/>
    <s v="ايراد دفرمگي موج كليد بالابر درب جلو راست در مجموعه دستگيره مچي درب جلو راست سازه پويش كه ايراد به رويت نماينده ساپگو آقاي پور حلم رسيده است .*** فرشادفر"/>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0"/>
    <s v="IK016269PB"/>
    <s v="-"/>
    <s v="-"/>
    <s v="-"/>
    <x v="2"/>
    <s v="-"/>
    <s v="-"/>
    <s v="بسته شده"/>
    <s v="-"/>
    <s v="-"/>
  </r>
  <r>
    <n v="1"/>
    <s v="-"/>
    <n v="198714"/>
    <s v="1403/04/21"/>
    <s v="1403/04"/>
    <x v="3"/>
    <x v="0"/>
    <s v="NOD"/>
    <s v="NBCM TARA SAL"/>
    <s v="ايراد مغايرت NBCM(عدم عملكرد راهنماي چپ)  رويت شد"/>
    <s v="عدم عملكرد ادوات برقي خودرو "/>
    <s v="NOK"/>
    <s v="1403/05/29"/>
    <s v="-"/>
    <s v="-"/>
    <s v="-"/>
    <s v="-"/>
    <s v="عدم اتصال صحیح پایه BTS7030"/>
    <s v="-"/>
    <s v="IC BTS"/>
    <s v="عدم اتصال صحیح پایه(IC)"/>
    <s v="مسدود بودن بخشی از سوراخ استنسیل و کامل نشدن مرحله چاپ قلع"/>
    <n v="1"/>
    <s v="IK01843080"/>
    <s v="RU8T1F11113006"/>
    <s v="1403/05/22"/>
    <s v="کاظمی پور"/>
    <x v="3"/>
    <s v="SCREEN PRINTER"/>
    <s v="-"/>
    <s v="بسته شده"/>
    <s v="-"/>
    <s v="-"/>
  </r>
  <r>
    <n v="1"/>
    <s v="-"/>
    <n v="198879"/>
    <s v="1403/04/23"/>
    <s v="1403/04"/>
    <x v="3"/>
    <x v="0"/>
    <s v="جلو آمپر"/>
    <s v="جلو آمپر تارا دستی"/>
    <s v="ايراد عملكردي آمپر (عدم عملكرد عقربه كيلومتر شمار) رويت گرديد."/>
    <s v="عقربه"/>
    <s v="NOK"/>
    <s v="1403/05/17"/>
    <s v="-"/>
    <s v="-"/>
    <s v="-"/>
    <s v="-"/>
    <s v="گیر عقربه"/>
    <s v="تحویل مهندس مرزوقی"/>
    <s v="استپر موتور"/>
    <s v="قطعه معیوب"/>
    <s v="ایراد در مواد اولیه "/>
    <n v="1"/>
    <s v="IK01288780"/>
    <s v="RJAC1F10910103"/>
    <s v="1403/05/17"/>
    <s v="کاظمی پور"/>
    <x v="1"/>
    <s v="-"/>
    <s v="-"/>
    <s v="بسته شده"/>
    <s v="-"/>
    <s v="-"/>
  </r>
  <r>
    <n v="1"/>
    <s v="-"/>
    <n v="199020"/>
    <s v="1403/04/24"/>
    <s v="1403/04"/>
    <x v="3"/>
    <x v="0"/>
    <s v="کلید شیشه بالابر"/>
    <s v="کلید شیشه بالابر جلو راست سورن"/>
    <s v="پليسه گيري نامناسب لبه قاب كليد شيشه بالابر درب جلو راست"/>
    <s v="ایراد ظاهری"/>
    <s v="-"/>
    <s v="-"/>
    <s v="-"/>
    <s v="-"/>
    <s v="-"/>
    <s v="-"/>
    <s v="-"/>
    <s v="پلیسه قاب"/>
    <s v="قاب"/>
    <s v="پلیسه"/>
    <s v="قالب قاب پلیمری"/>
    <n v="3"/>
    <s v="IK016269PB"/>
    <s v="-"/>
    <s v="-"/>
    <s v="-"/>
    <x v="1"/>
    <s v="-"/>
    <s v="-"/>
    <s v="بسته شده"/>
    <s v="-"/>
    <s v="-"/>
  </r>
  <r>
    <n v="1"/>
    <s v="-"/>
    <n v="199251"/>
    <s v="1403/04/31"/>
    <s v="1403/04"/>
    <x v="3"/>
    <x v="0"/>
    <s v="جلو آمپر"/>
    <s v="جلو آمپر دنا اتوماتیک"/>
    <s v="ايراد عملكردي آمپر ( عملكردنادرست اهرم تنظيم نور پشت آمپر) رويت گرديد."/>
    <s v="عدم عملكرد ادوات برقي خودرو "/>
    <s v="NOK"/>
    <s v="1403/05/29"/>
    <s v="-"/>
    <s v="-"/>
    <s v="-"/>
    <s v="-"/>
    <s v="شکسته بودن مقاومت"/>
    <s v="قطعه شکسته(مقاومت) "/>
    <s v="مقاومت"/>
    <s v="قطعه شکسته"/>
    <s v="بر اثر جابجایی"/>
    <n v="1"/>
    <s v="IK00929380"/>
    <s v="RJAD2F11160015"/>
    <s v="1403/05/26"/>
    <s v="کاظمی پور"/>
    <x v="0"/>
    <s v="-"/>
    <s v="اکرادی"/>
    <s v="بسته شده"/>
    <s v="-"/>
    <s v="-"/>
  </r>
  <r>
    <n v="1"/>
    <s v="-"/>
    <n v="199254"/>
    <s v="1403/04/31"/>
    <s v="1403/04"/>
    <x v="3"/>
    <x v="0"/>
    <s v="NOD"/>
    <s v="NBCM 207"/>
    <s v="ايراد كسري خار نگهدارنده روي براكت  NBCM رويت شد"/>
    <s v=" براکت"/>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6"/>
    <s v="IK01596980"/>
    <s v="-"/>
    <s v="-"/>
    <s v="-"/>
    <x v="2"/>
    <s v="-"/>
    <s v="-"/>
    <s v="بسته شده"/>
    <s v="-"/>
    <s v="-"/>
  </r>
  <r>
    <n v="1"/>
    <s v="-"/>
    <n v="199255"/>
    <s v="1403/04/31"/>
    <s v="1403/04"/>
    <x v="3"/>
    <x v="0"/>
    <s v="جلو آمپر"/>
    <s v="جلو آمپر دنا اتوماتیک"/>
    <s v="ايراد صداي اضافه آمپر (  اهرم تنظيم نور پشت آمپر) رويت گرديد."/>
    <s v="صدای اضافه"/>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0929380"/>
    <s v="-"/>
    <s v="-"/>
    <s v="-"/>
    <x v="2"/>
    <s v="-"/>
    <s v="-"/>
    <s v="بسته شده"/>
    <s v="-"/>
    <s v="-"/>
  </r>
  <r>
    <n v="1"/>
    <s v="-"/>
    <n v="199258"/>
    <s v="1403/04/31"/>
    <s v="1403/04"/>
    <x v="3"/>
    <x v="0"/>
    <s v="جلو آمپر"/>
    <s v="جلو آمپر207  معمولی85 گانه"/>
    <s v="ايرادعملكردي آمپر( عملكردنادرست نگيني ESP)يك نمونه رويت شد.عطف به اخطار193938"/>
    <s v="عملکرد نگینی(لوگو)"/>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033680"/>
    <s v="-"/>
    <s v="-"/>
    <s v="-"/>
    <x v="2"/>
    <s v="-"/>
    <s v="-"/>
    <s v="بسته شده"/>
    <s v="-"/>
    <s v="-"/>
  </r>
  <r>
    <n v="1"/>
    <s v="-"/>
    <n v="199274"/>
    <s v="1403/04/31"/>
    <s v="1403/04"/>
    <x v="3"/>
    <x v="0"/>
    <s v="MFD"/>
    <s v="MFD RUNNA"/>
    <s v="پيرو مراجعه به سالن مونتاژ4 به همراه  نماينده سازنده و در حضور سرگروه شيفت مربوطه يك مورد ايراد عملكرد نادرست( عدم نمايش سنسور دنده عقب)  قطعه نمايشگر ديجيتالي و پايه نگهدار رويت گرديد.قطعه از نظر ظاهري بررسي و مغايرتي مشاهده نشد با تعويض قطعه ايراد برطرف گرديد. كد رديابي قطعه: f1 100 000 358"/>
    <s v="LCD"/>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0473280"/>
    <s v="-"/>
    <s v="-"/>
    <s v="-"/>
    <x v="2"/>
    <s v="-"/>
    <s v="-"/>
    <s v="بسته شده"/>
    <s v="-"/>
    <s v="-"/>
  </r>
  <r>
    <n v="1"/>
    <s v="-"/>
    <n v="199319"/>
    <s v="1403/05/01"/>
    <s v="1403/05"/>
    <x v="4"/>
    <x v="0"/>
    <s v="جلو آمپر"/>
    <s v="جلو آمپر تارا اتوماتیک"/>
    <s v="ايراد عملكردي آمپر (عدم عملكرد صفحه نمايشگر) رويت گرديد."/>
    <s v="LCD"/>
    <s v="NOK"/>
    <s v="1403/05/29"/>
    <s v="-"/>
    <s v="-"/>
    <s v="-"/>
    <s v="-"/>
    <s v="مشکل کیفی LCD"/>
    <s v="-"/>
    <s v="LCD"/>
    <s v="قطعه معیوب"/>
    <s v="ایراد در مواد اولیه "/>
    <n v="1"/>
    <s v="IK01348180"/>
    <s v="RJAK1F1093480"/>
    <s v="1403/05/26"/>
    <s v="کاظمی پور"/>
    <x v="1"/>
    <s v="-"/>
    <s v="-"/>
    <s v="بسته شده"/>
    <s v="-"/>
    <s v="-"/>
  </r>
  <r>
    <n v="1"/>
    <s v="-"/>
    <n v="199378"/>
    <s v="1403/05/03"/>
    <s v="1403/05"/>
    <x v="4"/>
    <x v="0"/>
    <s v="NOD"/>
    <s v="NBCM DENA"/>
    <s v="ايراد عملكردي  NBCM (عدم عملكرد چراغهاي كوچك جلو ) رويت شد"/>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403980"/>
    <s v="-"/>
    <s v="-"/>
    <s v="-"/>
    <x v="2"/>
    <s v="-"/>
    <s v="-"/>
    <s v="بسته شده"/>
    <s v="-"/>
    <s v="-"/>
  </r>
  <r>
    <n v="1"/>
    <s v="-"/>
    <n v="199643"/>
    <s v="1403/05/14"/>
    <s v="1403/05"/>
    <x v="4"/>
    <x v="0"/>
    <s v="جلو آمپر"/>
    <s v="جلو آمپرSOREN TC 85 گانه"/>
    <s v="ايراد عدم عملكرد نشانگر هاي پشت امپر كه ايراد در pdi مشاهده گرديده است"/>
    <s v="عملکرد نگینی(لوگو)"/>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5"/>
    <s v="IK01033880"/>
    <s v="-"/>
    <s v="-"/>
    <s v="-"/>
    <x v="2"/>
    <s v="-"/>
    <s v="-"/>
    <s v="بسته شده"/>
    <s v="-"/>
    <s v="-"/>
  </r>
  <r>
    <n v="1"/>
    <s v="-"/>
    <n v="199849"/>
    <s v="1403/05/20"/>
    <s v="1403/05"/>
    <x v="4"/>
    <x v="0"/>
    <s v="NOD"/>
    <s v="NBCM SOREN"/>
    <s v="عدم امكان خوانش سريال رديابي نود  مالتي پلكس  داخل اطاق"/>
    <s v="ایراد در لیبل"/>
    <s v="-"/>
    <s v="-"/>
    <s v="-"/>
    <s v="-"/>
    <s v="-"/>
    <s v="-"/>
    <s v="-"/>
    <s v="-"/>
    <s v="محصول"/>
    <s v="چاپ نامناسب لیبل"/>
    <s v="ایراد در ریبون پرینتر"/>
    <n v="5"/>
    <s v="IK01750880"/>
    <s v="-"/>
    <s v="-"/>
    <s v="-"/>
    <x v="3"/>
    <s v="پرینتر"/>
    <s v="-"/>
    <s v="بسته شده"/>
    <s v="-"/>
    <s v="-"/>
  </r>
  <r>
    <n v="1"/>
    <s v="-"/>
    <n v="199905"/>
    <s v="1403/05/21"/>
    <s v="1403/05"/>
    <x v="4"/>
    <x v="0"/>
    <s v="NOD"/>
    <s v="NBCM SOREN"/>
    <s v="عدم عملكرد ادوات برقي شيشه بالابرها ، كولر،راهنما،برف پاككن به علت معيوب بودن CBM -ايراد در انبارهاي سايت مركزي مشاهده شده است."/>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750880"/>
    <s v="-"/>
    <s v="-"/>
    <s v="-"/>
    <x v="2"/>
    <s v="-"/>
    <s v="-"/>
    <s v="بسته شده"/>
    <s v="-"/>
    <s v="-"/>
  </r>
  <r>
    <n v="1"/>
    <s v="-"/>
    <n v="200027"/>
    <s v="1403/05/23"/>
    <s v="1403/05"/>
    <x v="4"/>
    <x v="0"/>
    <s v="جلو آمپر"/>
    <s v="جلو آمپر207 اتوماتیک"/>
    <s v="مشكل عدم نمايش صحيح دما در خودرو 207 اتومات/خدمات پس از فروش"/>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5"/>
    <s v="IK01641180"/>
    <s v="-"/>
    <s v="-"/>
    <s v="-"/>
    <x v="2"/>
    <s v="-"/>
    <s v="-"/>
    <s v="بسته شده"/>
    <s v="-"/>
    <s v="-"/>
  </r>
  <r>
    <n v="1"/>
    <s v="-"/>
    <n v="200127"/>
    <s v="1403/05/25"/>
    <s v="1403/05"/>
    <x v="4"/>
    <x v="0"/>
    <s v="کلید شیشه بالابر"/>
    <s v="کلید شیشه بالابر جلو راست سورن"/>
    <s v="ايراد طبله رنگ كليد شيشه بالابر مربوط به كيفيت قطعه ميباشد.******طرقي"/>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5"/>
    <s v="IK016269PB"/>
    <s v="-"/>
    <s v="-"/>
    <s v="-"/>
    <x v="2"/>
    <s v="-"/>
    <s v="-"/>
    <s v="بسته شده"/>
    <s v="-"/>
    <s v="-"/>
  </r>
  <r>
    <n v="1"/>
    <s v="-"/>
    <n v="200259"/>
    <s v="1403/05/28"/>
    <s v="1403/05"/>
    <x v="4"/>
    <x v="0"/>
    <s v="NOD"/>
    <s v="NBCM TARA SAL"/>
    <s v="ايراد عملكردي  NBCM عدم عملكرد چراغ سقف(روشن ماندن ) رويت شد"/>
    <s v="عملکرد یکسره ادوات برق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843080"/>
    <s v="-"/>
    <s v="-"/>
    <s v="-"/>
    <x v="2"/>
    <s v="-"/>
    <s v="-"/>
    <s v="بسته شده"/>
    <s v="-"/>
    <s v="-"/>
  </r>
  <r>
    <n v="1"/>
    <s v="-"/>
    <n v="200370"/>
    <s v="1403/05/31"/>
    <s v="1403/05"/>
    <x v="4"/>
    <x v="0"/>
    <s v="NOD"/>
    <s v="NBCM DENA"/>
    <s v="ايراد ظاهري انطباق  NBCM عدم مونتاژ صحيح قطعه روي براكت رويت شد"/>
    <s v=" براکت"/>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50"/>
    <s v="IK01403980"/>
    <s v="-"/>
    <s v="-"/>
    <s v="-"/>
    <x v="2"/>
    <s v="-"/>
    <s v="-"/>
    <s v="بسته شده"/>
    <s v="-"/>
    <s v="-"/>
  </r>
  <r>
    <n v="1"/>
    <s v="-"/>
    <n v="200393"/>
    <s v="1403/05/30"/>
    <s v="1403/05"/>
    <x v="4"/>
    <x v="0"/>
    <s v="NOD"/>
    <s v="NBCM TARA SAL"/>
    <s v="ايراد عملكردي  NBCM عدم عملكردآلارم راهنما و چراغها يك نمونه رويت شد"/>
    <s v="عدم اعلام  اخطار  هشدار(بازر)"/>
    <s v="-"/>
    <s v="-"/>
    <s v="-"/>
    <s v="-"/>
    <s v="-"/>
    <s v="-"/>
    <s v="قطعی بوبین بازر"/>
    <s v="-"/>
    <s v="بازر"/>
    <s v="قطعه معیوب"/>
    <s v="ایراد در مواد اولیه "/>
    <n v="1"/>
    <s v="IK01843080"/>
    <s v="-"/>
    <s v="-"/>
    <s v="-"/>
    <x v="1"/>
    <s v="-"/>
    <s v="-"/>
    <s v="بسته شده"/>
    <s v="-"/>
    <s v="-"/>
  </r>
  <r>
    <n v="1"/>
    <s v="-"/>
    <n v="200454"/>
    <s v="1403/05/31"/>
    <s v="1403/05"/>
    <x v="4"/>
    <x v="0"/>
    <s v="NOD"/>
    <s v="NBCM 207"/>
    <s v="ايراد عملكردي  NBCM چراغ دنده عقب يكسره يك نمونه رويت شد"/>
    <s v="عملکرد یکسره ادوات برق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596980"/>
    <s v="-"/>
    <s v="-"/>
    <s v="-"/>
    <x v="2"/>
    <s v="-"/>
    <s v="-"/>
    <s v="بسته شده"/>
    <s v="-"/>
    <s v="-"/>
  </r>
  <r>
    <n v="1"/>
    <s v="-"/>
    <n v="200656"/>
    <s v="1403/06/05"/>
    <s v="1403/06"/>
    <x v="5"/>
    <x v="0"/>
    <s v="جلو آمپر"/>
    <s v="جلو آمپر تارا اتوماتیک"/>
    <s v="طي بررسي بعمل آمده ايراد عملكرد صفحه نمايشگر يك نمونه رويت گرديد."/>
    <s v="LCD"/>
    <s v="OK"/>
    <s v="-"/>
    <s v="-"/>
    <s v="-"/>
    <s v="-"/>
    <s v="-"/>
    <s v="زیاد بودن قلع مقاومت"/>
    <s v="قلع اضافه بر روی مقاومت"/>
    <s v="مقاومت"/>
    <s v="قلع اضافه"/>
    <s v="عدم دقت اپراتور"/>
    <n v="1"/>
    <s v="IK01348180"/>
    <s v="-"/>
    <s v="-"/>
    <s v="-"/>
    <x v="4"/>
    <s v="-"/>
    <s v="یوسفی"/>
    <s v="بسته شده"/>
    <s v="-"/>
    <s v="-"/>
  </r>
  <r>
    <n v="1"/>
    <s v="-"/>
    <n v="200718"/>
    <s v="1403/06/06"/>
    <s v="1403/06"/>
    <x v="5"/>
    <x v="0"/>
    <s v="جلو آمپر"/>
    <s v="جلو آمپر207  معمولی85 گانه"/>
    <s v="ايراد عملكردي آمپر (عدم عملكردكامل ) رويت گرديد."/>
    <s v="عدم عملكرد كامل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033680"/>
    <s v="-"/>
    <s v="-"/>
    <s v="-"/>
    <x v="2"/>
    <s v="-"/>
    <s v="-"/>
    <s v="بسته شده"/>
    <s v="مقدار خازن کریستال از 22پیکو به 10 پیکو کاهش یافت"/>
    <s v="-"/>
  </r>
  <r>
    <n v="1"/>
    <s v="-"/>
    <n v="200745"/>
    <s v="1403/06/08"/>
    <s v="1403/06"/>
    <x v="5"/>
    <x v="0"/>
    <s v="کلید شیشه بالابر"/>
    <s v="کلید شیشه بالابر عقب چپ سورن"/>
    <s v="پليسه گيري نامناسب و اثر قالب روي قاب كليد شيشه بالابر"/>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3"/>
    <s v="IK016270PB"/>
    <s v="-"/>
    <s v="-"/>
    <s v="-"/>
    <x v="2"/>
    <s v="-"/>
    <s v="-"/>
    <s v="بسته شده"/>
    <s v="-"/>
    <s v="-"/>
  </r>
  <r>
    <n v="1"/>
    <s v="-"/>
    <n v="201013"/>
    <s v="1403/06/13"/>
    <s v="1403/06"/>
    <x v="5"/>
    <x v="0"/>
    <s v="کلید شیشه بالابر"/>
    <s v="کلید شیشه بالابر عقب چپ سورن"/>
    <s v="وجود پليسه اضافه  بر روي لبه قاب دستگيره شيشه بالابر"/>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0"/>
    <s v="IK016270PB"/>
    <s v="-"/>
    <s v="-"/>
    <s v="-"/>
    <x v="2"/>
    <s v="-"/>
    <s v="-"/>
    <s v="بسته شده"/>
    <s v="-"/>
    <s v="-"/>
  </r>
  <r>
    <n v="1"/>
    <s v="-"/>
    <n v="201103"/>
    <s v="1403/06/15"/>
    <s v="1403/06"/>
    <x v="5"/>
    <x v="0"/>
    <s v="MFD"/>
    <s v="MFD RUNNA"/>
    <s v="پيرو مراجعه به سالن PDI به همراه نمايندگان محترم شركت سازه پويش يك مورد ايراد عملكرد نادرست (سگمنت ناقص)  قطعه نمايشگر ديجيتالي (MFD)  رويت گرديد. قطعه از نظر ظاهري بررسي شد كه مغايرتي از نظر آسيب ديدگي رويت نگرديد و لذا با تعويض قطعه سالم با قطعه ايراددار، ايراد مرتفع گرديد. كد رديابي قطعه: RME 91 F1 124 000385"/>
    <s v="LCD"/>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0473280"/>
    <s v="-"/>
    <s v="-"/>
    <s v="-"/>
    <x v="2"/>
    <s v="-"/>
    <s v="-"/>
    <s v="بسته شده"/>
    <s v="-"/>
    <s v="-"/>
  </r>
  <r>
    <n v="1"/>
    <s v="-"/>
    <n v="201154"/>
    <s v="1403/06/17"/>
    <s v="1403/06"/>
    <x v="5"/>
    <x v="0"/>
    <s v="جلو آمپر"/>
    <s v="جلو آمپر تارا دستی"/>
    <s v="ايراد عملكردي آمپر (بهم ريختگي سگمنت هاLCD ) رويت گرديد."/>
    <s v="LCD"/>
    <s v="-"/>
    <s v="-"/>
    <s v="-"/>
    <s v="-"/>
    <s v="-"/>
    <s v="-"/>
    <s v="-"/>
    <s v="-"/>
    <s v="LCD"/>
    <s v="قطعه معیوب"/>
    <s v="ایراد در مواد اولیه "/>
    <n v="1"/>
    <s v="IK01288780"/>
    <s v="-"/>
    <s v="-"/>
    <s v="-"/>
    <x v="1"/>
    <s v="-"/>
    <s v="-"/>
    <s v="بسته شده"/>
    <s v="-"/>
    <s v="-"/>
  </r>
  <r>
    <n v="1"/>
    <s v="-"/>
    <n v="201186"/>
    <s v="1403/06/20"/>
    <s v="1403/06"/>
    <x v="5"/>
    <x v="0"/>
    <s v="جلو آمپر"/>
    <s v="جلو آمپر207  معمولی85 گانه"/>
    <s v="ايراد عملكردي آمپر (عدم برنامه آمپردستي و عقربه دور موتور پله اي ) رويت گرديد."/>
    <s v="عقربه"/>
    <s v="-"/>
    <s v="-"/>
    <s v="-"/>
    <s v="-"/>
    <s v="-"/>
    <s v="-"/>
    <s v="گیر عقربه"/>
    <s v="-"/>
    <s v="استپر موتور"/>
    <s v="قطعه معیوب"/>
    <s v="ایراد در مواد اولیه "/>
    <n v="3"/>
    <s v="IK01033680"/>
    <s v="-"/>
    <s v="1402/07/03"/>
    <s v="کاظمی پور"/>
    <x v="1"/>
    <s v="-"/>
    <s v="-"/>
    <s v="بسته شده"/>
    <s v="-"/>
    <s v="-"/>
  </r>
  <r>
    <n v="1"/>
    <s v="-"/>
    <n v="201209"/>
    <s v="1403/06/18"/>
    <s v="1403/06"/>
    <x v="5"/>
    <x v="0"/>
    <s v="جلو آمپر"/>
    <s v="جلو آمپر دنا ST"/>
    <s v="ايراد ظاهري آمپر(خرابي زه كرومي  ) رويت گرديد."/>
    <s v="ایراد ظاهری"/>
    <s v="-"/>
    <s v="-"/>
    <s v="-"/>
    <s v="-"/>
    <s v="-"/>
    <s v="-"/>
    <s v="ظاهری"/>
    <s v="خرابي زه كرومي"/>
    <s v="رینگ"/>
    <s v="قطعه معیوب"/>
    <s v="ایراد در مواد اولیه "/>
    <n v="1"/>
    <s v="IK00843780"/>
    <s v="-"/>
    <s v="1402/07/03"/>
    <s v="کاظمی پور"/>
    <x v="1"/>
    <s v="-"/>
    <s v="-"/>
    <s v="بسته شده"/>
    <s v="-"/>
    <s v="-"/>
  </r>
  <r>
    <n v="1"/>
    <s v="-"/>
    <n v="201216"/>
    <s v="1403/06/18"/>
    <s v="1403/06"/>
    <x v="5"/>
    <x v="0"/>
    <s v="جلو آمپر"/>
    <s v="جلو آمپر207  معمولی85 گانه"/>
    <s v="ايراد عملكردآمپر(عدم عملكرد آمپر دور موتور) رويت گرديد."/>
    <s v="عقربه"/>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033680"/>
    <s v="-"/>
    <s v="-"/>
    <s v="-"/>
    <x v="2"/>
    <s v="-"/>
    <s v="-"/>
    <s v="بسته شده"/>
    <s v="-"/>
    <s v="-"/>
  </r>
  <r>
    <n v="1"/>
    <s v="-"/>
    <n v="201369"/>
    <s v="1403/06/20"/>
    <s v="1403/06"/>
    <x v="5"/>
    <x v="0"/>
    <s v="NOD"/>
    <s v="NBCM 207"/>
    <s v="ايراد كليك نكردن سوكت بر روي قطعه  NBCM   يك نمونه رويت شد"/>
    <s v="کانکتور"/>
    <s v="-"/>
    <s v="-"/>
    <s v="-"/>
    <s v="-"/>
    <s v="-"/>
    <s v="-"/>
    <s v="کانکتور"/>
    <s v="ایراد در قفل کن کانکتور"/>
    <s v="کانکتور 14 پین"/>
    <s v="کانکتور"/>
    <s v="ایراد در مواد اولیه "/>
    <n v="1"/>
    <s v="IK01596980"/>
    <s v="-"/>
    <s v="1402/07/03"/>
    <s v="کاظمی پور"/>
    <x v="1"/>
    <s v="-"/>
    <s v="-"/>
    <s v="بسته شده"/>
    <s v="-"/>
    <s v="عکس"/>
  </r>
  <r>
    <n v="1"/>
    <s v="-"/>
    <n v="201405"/>
    <s v="1403/06/25"/>
    <s v="1403/06"/>
    <x v="5"/>
    <x v="0"/>
    <s v="NOD"/>
    <s v="NBCM SOREN"/>
    <s v="نداشتن رزوه پيچ براكت نودمالتي پلكس داخل اطاقجديدSC02-SP_ايرادبه روئيت نماينده ساپكو رسيده است."/>
    <s v="براکت"/>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4"/>
    <s v="IK01403780"/>
    <s v="-"/>
    <s v="-"/>
    <s v="-"/>
    <x v="2"/>
    <s v="-"/>
    <s v="-"/>
    <s v="بسته شده"/>
    <s v="-"/>
    <s v="-"/>
  </r>
  <r>
    <n v="1"/>
    <s v="-"/>
    <n v="201572"/>
    <s v="1403/06/25"/>
    <s v="1403/06"/>
    <x v="5"/>
    <x v="0"/>
    <s v="NOD"/>
    <s v="NBCM 207"/>
    <s v="ايراد عملكردي  NBCM يكسره بودن برف پاكن عقب  يك نمونه رويت شد"/>
    <s v="عملكرد نادرست  برف پاک کن"/>
    <s v="NOK"/>
    <s v="1402/07/03"/>
    <s v="-"/>
    <s v="-"/>
    <s v="-"/>
    <s v="-"/>
    <s v="اتصالی خازن 47 نانو"/>
    <s v="پاشش قلع"/>
    <s v="خازن"/>
    <s v="اتصالی"/>
    <s v="عملکرد نادرست تجهیز وان قلع"/>
    <n v="1"/>
    <s v="IK01596980"/>
    <s v="-"/>
    <s v="1402/07/03"/>
    <s v="کاظمی پور"/>
    <x v="3"/>
    <s v="وان قلع"/>
    <s v="-"/>
    <s v="بسته شده"/>
    <s v="-"/>
    <s v="-"/>
  </r>
  <r>
    <n v="1"/>
    <s v="-"/>
    <n v="201585"/>
    <s v="1403/06/25"/>
    <s v="1403/06"/>
    <x v="5"/>
    <x v="0"/>
    <s v="NOD"/>
    <s v="NBCM TARA"/>
    <s v="مغايرت در لاگ برداري انجام شده توسط ايتراك عطف به فايل يوست."/>
    <s v="ایتراک"/>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262380"/>
    <s v="-"/>
    <s v="-"/>
    <s v="-"/>
    <x v="2"/>
    <s v="-"/>
    <s v="-"/>
    <s v="بسته شده"/>
    <s v="-"/>
    <s v="-"/>
  </r>
  <r>
    <n v="1"/>
    <s v="-"/>
    <n v="201627"/>
    <s v="1403/06/26"/>
    <s v="1403/06"/>
    <x v="5"/>
    <x v="0"/>
    <s v="NOD"/>
    <s v="NBCM TARA SAL"/>
    <s v="ايراد عملكردي  NBCM يكسره بودن چراغ سقف عقب  يك نمونه رويت شد"/>
    <s v="عملکرد یکسره ادوات برقی"/>
    <s v="NOK"/>
    <s v="1402/07/17"/>
    <s v="-"/>
    <s v="-"/>
    <s v="-"/>
    <s v="-"/>
    <s v="قطعی قطعه BTS7200"/>
    <s v="-"/>
    <s v="IC BTS"/>
    <s v="قطعه معیوب"/>
    <s v="ایراد در مواد اولیه "/>
    <n v="1"/>
    <s v="IK01843080"/>
    <s v="-"/>
    <s v="1402/07/16"/>
    <s v="کاظمی پور"/>
    <x v="1"/>
    <s v="-"/>
    <s v="-"/>
    <s v="بسته شده"/>
    <s v="-"/>
    <s v="-"/>
  </r>
  <r>
    <n v="1"/>
    <s v="-"/>
    <n v="201705"/>
    <s v="1403/06/27"/>
    <s v="1403/06"/>
    <x v="5"/>
    <x v="0"/>
    <s v="جلو آمپر"/>
    <s v="جلو آمپرSOREN TC 85 گانه"/>
    <s v="عملكرد نادرست آمپر اب"/>
    <s v="عقربه"/>
    <s v="NOK"/>
    <s v="1402/07/16"/>
    <s v="-"/>
    <s v="-"/>
    <s v="-"/>
    <s v="-"/>
    <s v="قطعی وایا جهان"/>
    <s v="-"/>
    <s v="PCB"/>
    <s v="قطعی وایا"/>
    <s v="ایراد در مواد اولیه "/>
    <n v="1"/>
    <s v="IK01033880"/>
    <s v="-"/>
    <s v="1402/07/16"/>
    <s v="کاظمی پور"/>
    <x v="1"/>
    <s v="-"/>
    <s v="-"/>
    <s v="بسته شده"/>
    <s v="-"/>
    <s v="عکس"/>
  </r>
  <r>
    <n v="1"/>
    <s v="-"/>
    <n v="201761"/>
    <s v="1403/06/28"/>
    <s v="1403/06"/>
    <x v="5"/>
    <x v="0"/>
    <s v="جلو آمپر"/>
    <s v="جلو آمپر207 اتوماتیک85 گانه"/>
    <s v="ايراد عملكردآمپر(عملكرد نادرست دور موتور برگشت پله اي) رويت گرديد."/>
    <s v="عقربه"/>
    <s v="NOK"/>
    <s v="1402/07/16"/>
    <s v="-"/>
    <s v="-"/>
    <s v="-"/>
    <s v="-"/>
    <s v="تاب داشتن چرخ دنده استپر موتور"/>
    <s v="-"/>
    <s v="استپر موتور"/>
    <s v="قطعه معیوب"/>
    <s v="ایراد در مواد اولیه "/>
    <n v="1"/>
    <s v="IK01917980"/>
    <s v="-"/>
    <s v="1402/07/16"/>
    <s v="کاظمی پور"/>
    <x v="1"/>
    <s v="-"/>
    <s v="-"/>
    <s v="بسته شده"/>
    <s v="-"/>
    <s v="-"/>
  </r>
  <r>
    <n v="1"/>
    <s v="-"/>
    <n v="201762"/>
    <s v="1403/06/28"/>
    <s v="1403/06"/>
    <x v="5"/>
    <x v="0"/>
    <s v="جلو آمپر"/>
    <s v="جلو آمپر207  معمولی85 گانه"/>
    <s v="ايراد عملكردآمپر(عملكرد نادرست LCD بهم ريختگي) رويت گرديد."/>
    <s v="LCD"/>
    <s v="NOK"/>
    <s v="1402/07/16"/>
    <s v="-"/>
    <s v="-"/>
    <s v="-"/>
    <s v="-"/>
    <s v="شکستگی LCD بر اثر ضربه"/>
    <s v="بعد از ارسال قطعه"/>
    <s v="LCD"/>
    <s v="قطعه معیوب"/>
    <s v="بر اثر جابجایی"/>
    <n v="1"/>
    <s v="IK01033680"/>
    <s v="-"/>
    <s v="1402/07/16"/>
    <s v="کاظمی پور"/>
    <x v="0"/>
    <s v="-"/>
    <s v="-"/>
    <s v="بسته شده"/>
    <s v="-"/>
    <s v="-"/>
  </r>
  <r>
    <n v="1"/>
    <s v="-"/>
    <n v="201764"/>
    <s v="1403/06/28"/>
    <s v="1403/06"/>
    <x v="5"/>
    <x v="0"/>
    <s v="جلو آمپر"/>
    <s v="جلو آمپر دنا ST"/>
    <s v="ايراد عملكردآمپر(عملكرد نادرست LCD بهم ريختگي) رويت گرديد."/>
    <s v="LCD"/>
    <s v="NOK"/>
    <s v="1402/07/16"/>
    <s v="-"/>
    <s v="-"/>
    <s v="-"/>
    <s v="-"/>
    <s v="در تستر قابل تشخیص نمی باشد"/>
    <s v="رگولاتور بر اثر جایگذاری نامناسب برد و یا جابجایی شکسته"/>
    <s v="خازن"/>
    <s v="قطعه شکسته"/>
    <s v="بر اثر جابجایی"/>
    <n v="1"/>
    <s v="IK00843780"/>
    <s v="-"/>
    <s v="1402/07/16"/>
    <s v="کاظمی پور"/>
    <x v="0"/>
    <s v="-"/>
    <s v="-"/>
    <s v="بسته شده"/>
    <s v="-"/>
    <s v="-"/>
  </r>
  <r>
    <n v="1"/>
    <s v="-"/>
    <n v="201904"/>
    <s v="1403/07/02"/>
    <s v="1403/07"/>
    <x v="6"/>
    <x v="0"/>
    <s v="NOD"/>
    <s v="NBCM TARA SAL"/>
    <s v="ايراد عملكرد نادرست NBCM عملكرد مه شكن جلو يكسره ميباشد"/>
    <s v="عدم عملكرد ادوات برقي خودرو "/>
    <s v="NOK"/>
    <s v="1402/07/17"/>
    <s v="-"/>
    <s v="-"/>
    <s v="-"/>
    <s v="-"/>
    <s v="اتصالی خازن توسط گوله قلع"/>
    <s v="گوله قلع در فیکسچر"/>
    <s v="خازن"/>
    <s v="اتصالی"/>
    <s v="عملکرد نادرست تجهیز وان قلع"/>
    <n v="1"/>
    <s v="IK01843080"/>
    <s v="-"/>
    <s v="1402/07/16"/>
    <s v="کاظمی پور"/>
    <x v="3"/>
    <s v="وان قلع"/>
    <s v="-"/>
    <s v="بسته شده"/>
    <s v="-"/>
    <s v="عکس"/>
  </r>
  <r>
    <n v="1"/>
    <s v="-"/>
    <n v="201985"/>
    <s v="1403/07/03"/>
    <s v="1403/07"/>
    <x v="6"/>
    <x v="0"/>
    <s v="جلو آمپر"/>
    <s v="جلو آمپر دنا اتوماتیک"/>
    <s v="ايراد عملكردآمپر(عدم عملكرد بك لايت پشت آمپر آب) رويت گرديد."/>
    <s v="عدم عملكرد ادوات برقي خودرو "/>
    <s v="NOK"/>
    <s v="1402/07/16"/>
    <s v="-"/>
    <s v="-"/>
    <s v="-"/>
    <s v="-"/>
    <s v="شارژ قطعات SMD بصورت دستی"/>
    <s v="کمبود قلع پایه LED به علت نداشتن لیبل تعمیرات اپراتور خاطی قابل تشخیص نیست"/>
    <s v=" LED "/>
    <s v="کمبود قلع "/>
    <s v="عدم دقت اپراتور تعمیرات SMD در رفع ایراد"/>
    <n v="1"/>
    <s v="IK00929380"/>
    <s v="-"/>
    <s v="1402/07/16"/>
    <s v="کاظمی پور"/>
    <x v="4"/>
    <s v="-"/>
    <s v="نامشخص"/>
    <s v="بسته شده"/>
    <s v="-"/>
    <s v="عکس"/>
  </r>
  <r>
    <n v="1"/>
    <s v="-"/>
    <n v="201986"/>
    <s v="1403/07/03"/>
    <s v="1403/07"/>
    <x v="6"/>
    <x v="0"/>
    <s v="جلو آمپر"/>
    <s v="جلو آمپر تارا اتوماتیک"/>
    <s v="ايراد عملكردآمپر(عدم عملكرد صفحه نمايشگر) رويت گرديد."/>
    <s v="LCD"/>
    <s v="NOK"/>
    <s v="1402/07/16"/>
    <s v="-"/>
    <s v="-"/>
    <s v="-"/>
    <s v="-"/>
    <s v="عملکرد تصادفی دارد"/>
    <s v="LCD معیوب"/>
    <s v="LCD"/>
    <s v="قطعه معیوب"/>
    <s v="ایراد در مواد اولیه "/>
    <n v="1"/>
    <s v="IK01348180"/>
    <s v="-"/>
    <s v="1402/07/16"/>
    <s v="کاظمی پور"/>
    <x v="1"/>
    <s v="-"/>
    <s v="-"/>
    <s v="بسته شده"/>
    <s v="-"/>
    <s v="-"/>
  </r>
  <r>
    <n v="1"/>
    <s v="-"/>
    <n v="202103"/>
    <s v="1403/07/04"/>
    <s v="1403/07"/>
    <x v="6"/>
    <x v="0"/>
    <s v="NOD"/>
    <s v="NBCM TARA SAL"/>
    <s v="مردودي در برخي از آيتمهاي تست Software and Network Performance بند 43تست پلن،عطف به گزارش دريافت شده از ايتراك."/>
    <s v="ایتراک"/>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843080"/>
    <s v="-"/>
    <s v="-"/>
    <s v="-"/>
    <x v="2"/>
    <s v="-"/>
    <s v="-"/>
    <s v="بسته شده"/>
    <s v="-"/>
    <s v="-"/>
  </r>
  <r>
    <n v="1"/>
    <s v="-"/>
    <n v="202109"/>
    <s v="1403/07/04"/>
    <s v="1403/07"/>
    <x v="6"/>
    <x v="0"/>
    <s v="کلید شیشه بالابر"/>
    <s v="کلید شیشه بالابر جلو چپ سورن"/>
    <s v="عدم عملكرد كليد قفل كن شيشه بالابرھاي عقب روي پنل شيشه بالابر در جلو چپ - ايراد به روئيت آقاي كشاورز رسيده است."/>
    <s v="قفل کودک"/>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3"/>
    <s v="IK016268PB"/>
    <s v="-"/>
    <s v="-"/>
    <s v="-"/>
    <x v="2"/>
    <s v="-"/>
    <s v="-"/>
    <s v="بسته شده"/>
    <s v="-"/>
    <s v="-"/>
  </r>
  <r>
    <n v="1"/>
    <s v="-"/>
    <n v="202208"/>
    <s v="1403/07/07"/>
    <s v="1403/07"/>
    <x v="6"/>
    <x v="0"/>
    <s v="NOD"/>
    <s v="NBCM TARA SAL"/>
    <s v="ايراد عملكردي  NBCM (روشن ماندن چراغ سقف)  يك نمونه رويت شد"/>
    <s v="عملکرد یکسره ادوات برقی"/>
    <s v="NOK"/>
    <s v="1402/07/17"/>
    <s v="-"/>
    <s v="-"/>
    <s v="-"/>
    <s v="-"/>
    <s v="اتصالی bts7200"/>
    <s v="-"/>
    <s v="IC BTS"/>
    <s v="اتصالی"/>
    <s v="ایراد در مواد اولیه "/>
    <n v="1"/>
    <s v="IK01843080"/>
    <s v="-"/>
    <s v="1402/07/24"/>
    <s v="کاظمی پور"/>
    <x v="1"/>
    <s v="-"/>
    <s v="-"/>
    <s v="بسته شده"/>
    <s v="-"/>
    <s v="-"/>
  </r>
  <r>
    <n v="1"/>
    <s v="-"/>
    <n v="202209"/>
    <s v="1403/07/07"/>
    <s v="1403/07"/>
    <x v="6"/>
    <x v="0"/>
    <s v="جلو آمپر"/>
    <s v="جلو آمپر دنا اتوماتیک"/>
    <s v="ايراد عملكردآمپر(عدم عملكرد ادوات پشت آمپر) رويت گرديد."/>
    <s v="عدم عملكرد ادوات برقي خودرو "/>
    <s v="NOK"/>
    <s v="1402/07/17"/>
    <s v="-"/>
    <s v="-"/>
    <s v="-"/>
    <s v="-"/>
    <s v="قطعه کریستال معیوب"/>
    <s v="-"/>
    <s v="کریستال"/>
    <s v="قطعه معیوب"/>
    <s v="ایراد در مواد اولیه "/>
    <n v="1"/>
    <s v="IK00929380"/>
    <s v="-"/>
    <s v="1402/07/16"/>
    <s v="کاظمی پور"/>
    <x v="1"/>
    <s v="-"/>
    <s v="-"/>
    <s v="بسته شده"/>
    <s v="-"/>
    <s v="-"/>
  </r>
  <r>
    <n v="1"/>
    <s v="-"/>
    <n v="202369"/>
    <s v="1403/07/10"/>
    <s v="1403/07"/>
    <x v="6"/>
    <x v="0"/>
    <s v="جلو آمپر"/>
    <s v="جلو آمپر دنا اتوماتیک"/>
    <s v="ايراد عملكردآمپر(عدم عملكردبك لايت آمپر بنزين) رويت گرديد."/>
    <s v="عدم عملكرد ادوات برقي خودرو "/>
    <s v="NOK"/>
    <s v="1402/07/17"/>
    <s v="-"/>
    <s v="-"/>
    <s v="-"/>
    <s v="-"/>
    <s v="شکسته شدن مقاومت"/>
    <s v="قطعه شکسته(مقاومت) "/>
    <s v="مقاومت"/>
    <s v="قطعه شکسته"/>
    <s v="بر اثر جابجایی"/>
    <n v="1"/>
    <s v="IK00929380"/>
    <s v="-"/>
    <s v="1402/07/16"/>
    <s v="کاظمی پور"/>
    <x v="0"/>
    <s v="-"/>
    <s v="-"/>
    <s v="بسته شده"/>
    <s v="-"/>
    <s v="عکس"/>
  </r>
  <r>
    <n v="1"/>
    <s v="-"/>
    <n v="202425"/>
    <s v="1403/07/11"/>
    <s v="1403/07"/>
    <x v="6"/>
    <x v="0"/>
    <s v="جلو آمپر"/>
    <s v="جلو آمپر تارا اتوماتیک"/>
    <s v="ايراد عملكردآمپر(عدم عملكرد عقربه دور موتور ) رويت شد"/>
    <s v="عقربه"/>
    <s v="NOK"/>
    <s v="1402/07/17"/>
    <s v="-"/>
    <s v="-"/>
    <s v="-"/>
    <s v="-"/>
    <s v="شکستگی رگلاتور ورودی خازن"/>
    <s v="قطعه شکسته(رگلاتور)"/>
    <s v="خازن"/>
    <s v="قطعه شکسته"/>
    <s v="بر اثر جابجایی"/>
    <n v="1"/>
    <s v="IK01348180"/>
    <s v="-"/>
    <s v="1403/08/02"/>
    <s v="مسیح زاده"/>
    <x v="0"/>
    <s v="-"/>
    <s v="-"/>
    <s v="بسته شده"/>
    <s v="-"/>
    <s v="-"/>
  </r>
  <r>
    <n v="1"/>
    <s v="-"/>
    <n v="202477"/>
    <s v="1403/07/12"/>
    <s v="1403/07"/>
    <x v="6"/>
    <x v="0"/>
    <s v="NOD"/>
    <s v="NBCM TARA SAL"/>
    <s v="ايراد عملكردي  NBCM (عدم عملكرد بوق)  يك نمونه رويت شد"/>
    <s v="عدم عملكرد ادوات برقي خودرو "/>
    <s v="NOK"/>
    <s v="1402/07/17"/>
    <s v="-"/>
    <s v="-"/>
    <s v="-"/>
    <s v="-"/>
    <s v="پلمپ قطعه باز بوده"/>
    <s v="وجود گوله قلع در پایه های IC میکرو"/>
    <s v="IC میکرو"/>
    <s v="اتصالی"/>
    <s v="عملکرد نادرست تجهیز وان قلع"/>
    <n v="1"/>
    <s v="IK01843080"/>
    <s v="-"/>
    <s v="1402/07/24"/>
    <s v="کاظمی پور"/>
    <x v="3"/>
    <s v="وان قلع"/>
    <s v="-"/>
    <s v="بسته شده"/>
    <s v="-"/>
    <s v="-"/>
  </r>
  <r>
    <n v="1"/>
    <s v="-"/>
    <n v="202478"/>
    <s v="1403/07/12"/>
    <s v="1403/07"/>
    <x v="6"/>
    <x v="0"/>
    <s v="کلید شیشه بالابر"/>
    <s v="کلید شیشه بالابر جلو چپ سورن"/>
    <s v="ايراد عدم عملكرد كليد تاشو آينه(فرشادفر)"/>
    <s v="عدم عملكرد ادوات برقي خودرو "/>
    <s v="NOK"/>
    <s v="1402/07/17"/>
    <s v="-"/>
    <s v="-"/>
    <s v="-"/>
    <s v="-"/>
    <s v="-"/>
    <s v="-"/>
    <s v="-"/>
    <s v="نامشخص"/>
    <s v="نامشخص"/>
    <n v="1"/>
    <s v="IK016268PB"/>
    <s v="-"/>
    <s v="1403/08/02"/>
    <s v="مسیح زاده"/>
    <x v="2"/>
    <s v="-"/>
    <s v="-"/>
    <s v="بسته شده"/>
    <s v="-"/>
    <s v="-"/>
  </r>
  <r>
    <n v="1"/>
    <s v="-"/>
    <n v="202502"/>
    <s v="1403/07/14"/>
    <s v="1403/07"/>
    <x v="6"/>
    <x v="0"/>
    <s v="جلو آمپر"/>
    <s v="جلو آمپر207  معمولی85 گانه"/>
    <s v="ايراد عملكردجلوآمپر(عدم عملكرد نگيني كليد فلاشر ) رويت شد"/>
    <s v="عملکرد نگینی(لوگو)"/>
    <s v="NOK"/>
    <s v="1402/07/24"/>
    <s v="-"/>
    <s v="-"/>
    <s v="-"/>
    <s v="-"/>
    <s v="شکستگی مقاومت بعضی قطعات بصورت دستی شارژ شده است"/>
    <s v="قطعه شکسته(مقاومت) "/>
    <s v="مقاومت"/>
    <s v="قطعه شکسته"/>
    <s v="بر اثر جابجایی"/>
    <n v="1"/>
    <s v="IK01033680"/>
    <s v="-"/>
    <s v="1402/07/24"/>
    <s v="کاظمی پور"/>
    <x v="0"/>
    <s v="-"/>
    <s v="-"/>
    <s v="بسته شده"/>
    <s v="-"/>
    <s v="-"/>
  </r>
  <r>
    <n v="1"/>
    <s v="-"/>
    <n v="202546"/>
    <s v="1403/07/14"/>
    <s v="1403/07"/>
    <x v="6"/>
    <x v="0"/>
    <s v="جلو آمپر"/>
    <s v="جلو آمپر دنا ST"/>
    <s v="ايراد عملكردجلوآمپر(عدم عملكرد آلارم راهنما و دنده عقب) رويت شد"/>
    <s v="عدم عملكرد ادوات برقي خودرو "/>
    <s v="NOK"/>
    <s v="1402/07/24"/>
    <s v="-"/>
    <s v="-"/>
    <s v="-"/>
    <s v="-"/>
    <s v="احتمالا ایراد قطعی وایا بازر بوده"/>
    <s v="بعد از دمونتاژ و مونتاژ بازر ایراد برطرف گردیدبرد جهان الکترونیک"/>
    <s v="PCB"/>
    <s v="قطعی وایا"/>
    <s v="ایراد در مواد اولیه "/>
    <n v="1"/>
    <s v="IK00843780"/>
    <s v="-"/>
    <s v="1402/07/24"/>
    <s v="کاظمی پور"/>
    <x v="1"/>
    <s v="-"/>
    <s v="-"/>
    <s v="بسته شده"/>
    <s v="-"/>
    <s v="-"/>
  </r>
  <r>
    <n v="1"/>
    <s v="-"/>
    <n v="202548"/>
    <s v="1403/07/16"/>
    <s v="1403/07"/>
    <x v="6"/>
    <x v="0"/>
    <s v="NOD"/>
    <s v="NBCM DENA"/>
    <s v="عدم عملكرد ادوات برقي خودرو بدليل ايراد جعبه الكترونيكي مالتي پلكس در خدمات پس از فروش"/>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0"/>
    <s v="IK01403980"/>
    <s v="-"/>
    <s v="-"/>
    <s v="-"/>
    <x v="2"/>
    <s v="-"/>
    <s v="-"/>
    <s v="بسته شده"/>
    <s v="-"/>
    <s v="-"/>
  </r>
  <r>
    <n v="1"/>
    <s v="-"/>
    <n v="202550"/>
    <s v="1403/07/16"/>
    <s v="1403/07"/>
    <x v="6"/>
    <x v="0"/>
    <s v="NOD"/>
    <s v="NBCM TARA SAL"/>
    <s v="عدم عملكرد ادوات برقي خودرو بدليل ايراد جعبه الكترونيكي مالتي پلكس در خدمات پس از فروش"/>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0"/>
    <s v="IK01843080"/>
    <s v="-"/>
    <s v="-"/>
    <s v="-"/>
    <x v="2"/>
    <s v="-"/>
    <s v="-"/>
    <s v="بسته شده"/>
    <s v="-"/>
    <s v="-"/>
  </r>
  <r>
    <n v="1"/>
    <s v="-"/>
    <n v="202551"/>
    <s v="1403/07/16"/>
    <s v="1403/07"/>
    <x v="6"/>
    <x v="0"/>
    <s v="NOD"/>
    <s v="NBCM TARA"/>
    <s v="عدم عملكرد ادوات برقي خودرو بدليل ايراد جعبه الكترونيكي مالتي پلكس در خدمات پس از فروش"/>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0"/>
    <s v="IK01262380"/>
    <s v="-"/>
    <s v="-"/>
    <s v="-"/>
    <x v="2"/>
    <s v="-"/>
    <s v="-"/>
    <s v="بسته شده"/>
    <s v="-"/>
    <s v="-"/>
  </r>
  <r>
    <n v="1"/>
    <s v="-"/>
    <n v="202607"/>
    <s v="1403/07/16"/>
    <s v="1403/07"/>
    <x v="6"/>
    <x v="0"/>
    <s v="جلو آمپر"/>
    <s v="جلو آمپر دنا اتوماتیک"/>
    <s v="گير داشتن نشانگر بنزين در خدمات پس از فروش عطف به گزارش پيوست."/>
    <s v="عقربه"/>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0929380"/>
    <s v="-"/>
    <s v="-"/>
    <s v="-"/>
    <x v="2"/>
    <s v="-"/>
    <s v="-"/>
    <s v="بسته شده"/>
    <s v="-"/>
    <s v="-"/>
  </r>
  <r>
    <n v="1"/>
    <s v="-"/>
    <n v="202633"/>
    <s v="1403/07/16"/>
    <s v="1403/07"/>
    <x v="6"/>
    <x v="0"/>
    <s v="NOD"/>
    <s v="NBCM TARA SAL"/>
    <s v="ايراد عملكردي  NBCM (عدم عملكرد چراغ نگيني قفل مركزي)  يك نمونه رويت شد"/>
    <s v="عملکرد نگینی(لوگو)"/>
    <s v="NOK"/>
    <s v="1402/07/24"/>
    <s v="-"/>
    <s v="-"/>
    <s v="-"/>
    <s v="-"/>
    <s v="بارکد روی قاب با حافظه pcb مطابقت ندارد"/>
    <s v="قاب فاقد علامت سنبه می باشد"/>
    <s v="محصول"/>
    <s v="قطعه تعمیری "/>
    <s v="عدم دقت اپراتور"/>
    <n v="1"/>
    <s v="IK01843080"/>
    <s v="-"/>
    <s v="1402/07/24"/>
    <s v="کاظمی پور"/>
    <x v="4"/>
    <s v="-"/>
    <s v="نامشخص"/>
    <s v="بسته شده"/>
    <s v="-"/>
    <s v="-"/>
  </r>
  <r>
    <n v="1"/>
    <s v="-"/>
    <n v="202635"/>
    <s v="1403/07/16"/>
    <s v="1403/07"/>
    <x v="6"/>
    <x v="0"/>
    <s v="جلو آمپر"/>
    <s v="جلو آمپر تارا اتوماتیک"/>
    <s v="ايراد عملكردجلوآمپر(عدم عملكرد صفحه نمايشگر ) رويت شد"/>
    <s v="LCD"/>
    <s v="OK"/>
    <s v="1402/07/24"/>
    <s v="-"/>
    <s v="-"/>
    <s v="-"/>
    <s v="-"/>
    <s v="با تست بر روی بنچ یک بار ایراد مشاهده و دیگر موردی مشاهده نگردید."/>
    <s v="-"/>
    <s v="-"/>
    <s v="نامشخص"/>
    <s v="نامشخص"/>
    <n v="1"/>
    <s v="IK01348180"/>
    <s v="-"/>
    <s v="1403/08/02"/>
    <s v="مسیح زاده"/>
    <x v="2"/>
    <s v="-"/>
    <s v="-"/>
    <s v="بسته شده"/>
    <s v="-"/>
    <s v="-"/>
  </r>
  <r>
    <n v="1"/>
    <s v="-"/>
    <n v="202686"/>
    <s v="1403/07/16"/>
    <s v="1403/07"/>
    <x v="6"/>
    <x v="0"/>
    <s v="جلو آمپر"/>
    <s v="جلو آمپر207  معمولی85 گانه"/>
    <s v="ايراد عملكردجلوآمپر(عدم عملكرد كامل ) رويت شد"/>
    <s v="عدم عملكرد كامل "/>
    <s v="OK"/>
    <s v="1402/07/24"/>
    <s v="-"/>
    <s v="-"/>
    <s v="-"/>
    <s v="-"/>
    <s v="باتوجه به بررسی کارگروه ایراد در مقدار خازن کریستال میباشد که از 22پیکو به 10 پیکو کاهش یافت"/>
    <s v="تحویل مهندس مرزوقی جهت تست خودرویی"/>
    <s v="-"/>
    <s v="موردی مشاهده نشد"/>
    <s v="موردی مشاهده نشد"/>
    <n v="1"/>
    <s v="IK01033680"/>
    <s v="-"/>
    <s v="1402/07/24"/>
    <s v="کاظمی پور"/>
    <x v="2"/>
    <s v="-"/>
    <s v="-"/>
    <s v="بسته شده"/>
    <s v="مقدار خازن کریستال از 22پیکو به 10 پیکو کاهش یافت"/>
    <s v="-"/>
  </r>
  <r>
    <n v="1"/>
    <s v="-"/>
    <n v="202844"/>
    <s v="1403/07/18"/>
    <s v="1403/07"/>
    <x v="6"/>
    <x v="0"/>
    <s v="جلو آمپر"/>
    <s v="جلو آمپر207  معمولی85 گانه"/>
    <s v="ايراد عملكردجلوآمپر(عدم نمايش دماسنج برروي صفحه نمايشگر مالتي مديا ) يك نمونه رويت شد (ايراد داراي سابقه )ميباشد"/>
    <s v="عدم عملكرد ادوات برقي خودرو "/>
    <s v="OK"/>
    <s v="1402/07/24"/>
    <s v="-"/>
    <s v="-"/>
    <s v="-"/>
    <s v="-"/>
    <s v="اتصالی کانکتور 18 پین"/>
    <s v="-"/>
    <s v="کانکتور 18 پین"/>
    <s v="اتصالی"/>
    <s v="عدم دقت اپراتور"/>
    <n v="1"/>
    <s v="IK01033680"/>
    <s v="-"/>
    <s v="1402/07/24"/>
    <s v="کاظمی پور"/>
    <x v="4"/>
    <s v="-"/>
    <s v="نامشخص"/>
    <s v="بسته شده"/>
    <s v="-"/>
    <s v="-"/>
  </r>
  <r>
    <n v="1"/>
    <s v="-"/>
    <n v="202845"/>
    <s v="1403/07/18"/>
    <s v="1403/07"/>
    <x v="6"/>
    <x v="0"/>
    <s v="NOD"/>
    <s v="NBCM DENA"/>
    <s v="ايراد عدم عملكرد NBCM(اتصالي و روشن نشدن) يك مورد به رويت آقاي فيروزي رسانده شد قطعه تحويل سازنده گرديد."/>
    <s v=" روشن نشدن خودرو"/>
    <s v="OK"/>
    <s v="1402/07/24"/>
    <s v="-"/>
    <s v="-"/>
    <s v="NOK"/>
    <s v="1402/07/24"/>
    <s v="تست با بنچ مشخص گردید که در خط مشتری بوسیله دیاگ بعضی از گزینه ها غیرفعال شده که باعث بروز ایراد گردیده است"/>
    <s v="-"/>
    <s v="محصول"/>
    <s v="کانفینگ اشتباه"/>
    <s v="تغییرتنظیمات توسط مشتری"/>
    <n v="1"/>
    <s v="IK01403980"/>
    <s v="-"/>
    <s v="1402/07/24"/>
    <s v="کاظمی پور"/>
    <x v="0"/>
    <s v="-"/>
    <s v="-"/>
    <s v="بسته شده"/>
    <s v="-"/>
    <s v="-"/>
  </r>
  <r>
    <n v="1"/>
    <s v="-"/>
    <n v="202974"/>
    <s v="1403/07/21"/>
    <s v="1403/07"/>
    <x v="6"/>
    <x v="0"/>
    <s v="جلو آمپر"/>
    <s v="جلو آمپر تارا اتوماتیک"/>
    <s v="ايراد عملكردجلوآمپر( دائم روشن ماندن پشت آمپر ) رويت شد"/>
    <s v="دائم روشن ماندن ادوات برقی"/>
    <s v="NOK"/>
    <s v="1402/07/24"/>
    <s v="-"/>
    <s v="-"/>
    <s v="-"/>
    <s v="-"/>
    <s v="-"/>
    <s v="-"/>
    <s v="LCD"/>
    <s v="قطعه معیوب"/>
    <s v="ایراد در مواد اولیه "/>
    <n v="1"/>
    <s v="IK01348180"/>
    <s v="-"/>
    <s v="1403/08/02"/>
    <s v="مسیح زاده"/>
    <x v="1"/>
    <s v="-"/>
    <s v="-"/>
    <s v="بسته شده"/>
    <s v="-"/>
    <s v="-"/>
  </r>
  <r>
    <n v="1"/>
    <s v="-"/>
    <n v="202976"/>
    <s v="1403/07/21"/>
    <s v="1403/07"/>
    <x v="6"/>
    <x v="0"/>
    <s v="جلو آمپر"/>
    <s v="جلو آمپر تارا دستی"/>
    <s v="ايراد عملكردجلوآمپر(عملكرد نادرست Back Light سرعت سنج ) رويت شد."/>
    <s v="عدم عملكرد ادوات برقي خودرو "/>
    <s v="OK"/>
    <s v="1403/08/18"/>
    <s v="-"/>
    <s v="-"/>
    <s v="-"/>
    <s v="-"/>
    <s v="-"/>
    <s v="-"/>
    <s v="-"/>
    <s v="موردی مشاهده نشد"/>
    <s v="موردی مشاهده نشد"/>
    <n v="1"/>
    <s v="IK01288780"/>
    <s v="-"/>
    <s v="1403/08/02"/>
    <s v="مسیح زاده"/>
    <x v="2"/>
    <s v="-"/>
    <s v="-"/>
    <s v="بسته شده"/>
    <s v="-"/>
    <s v="-"/>
  </r>
  <r>
    <n v="1"/>
    <s v="-"/>
    <n v="202980"/>
    <s v="1403/07/21"/>
    <s v="1403/07"/>
    <x v="6"/>
    <x v="0"/>
    <s v="NOD"/>
    <s v="NBCM DENA"/>
    <s v="مغايرت در لاگ برداري انجام شده توسط ايتراك.(گزارش پيوست)"/>
    <s v="ایتراک"/>
    <s v="-"/>
    <s v="-"/>
    <s v="-"/>
    <s v="-"/>
    <s v="-"/>
    <s v="-"/>
    <s v="مواردي كه در گزارش ايتراك درخصوص نود NBCM مطرح شده است تماما  مربوط به نرم افزار نود NBCM نمي باشد بعضا موارد به Spec نرم افزاري تعريف شده است، بر مي گردد. درضمن اين ايرادات Critical نيستند، طي برنامه توسعه نرم افزار كه قبلا با ساپكو و NPD هماهنگ شده است مواردي كه در گزارش ايتراك آمده است نياز به اصلاح دارد انجام خواهد شد."/>
    <s v="-"/>
    <s v="-"/>
    <s v="عدم دریافت قطعه"/>
    <s v="ایراد مورد تایید نیست"/>
    <n v="1"/>
    <s v="IK01403980"/>
    <s v="-"/>
    <s v="1403/08/09"/>
    <s v="کاظمی پور"/>
    <x v="2"/>
    <s v="-"/>
    <s v="-"/>
    <s v="بسته شده"/>
    <s v="-"/>
    <s v="-"/>
  </r>
  <r>
    <n v="1"/>
    <s v="-"/>
    <n v="203261"/>
    <s v="1403/07/26"/>
    <s v="1403/07"/>
    <x v="6"/>
    <x v="0"/>
    <s v="NOD"/>
    <s v="NBCM TARA SAL"/>
    <s v="ايراد عملكرد  NBCM  ( عدم تعريف ريموت ) ميباشد"/>
    <s v="عدم عملكرد قفل مركزي/ریموت"/>
    <s v="NOK"/>
    <s v="1403/08/27"/>
    <s v="-"/>
    <s v="-"/>
    <s v="-"/>
    <s v="-"/>
    <s v="قطعه ماژول معیوب"/>
    <s v="-"/>
    <s v="ماژول "/>
    <s v="قطعه معیوب"/>
    <s v="ایراد در مواد اولیه "/>
    <n v="1"/>
    <s v="IK01843080"/>
    <s v="-"/>
    <s v="1403/08/09"/>
    <s v="کاظمی پور"/>
    <x v="1"/>
    <s v="-"/>
    <s v="-"/>
    <s v="بسته شده"/>
    <s v="-"/>
    <s v="-"/>
  </r>
  <r>
    <n v="1"/>
    <s v="-"/>
    <n v="203273"/>
    <s v="1403/07/26"/>
    <s v="1403/07"/>
    <x v="6"/>
    <x v="0"/>
    <s v="جلو آمپر"/>
    <s v="جلو آمپر207 اتوماتیک85 گانه"/>
    <s v="ايراد عملكردجلوآمپر(عدم عملكرد عقربه سرعت سنج ) رويت شد."/>
    <s v="عقربه"/>
    <s v="NOK"/>
    <s v="1403/08/18"/>
    <s v="-"/>
    <s v="-"/>
    <s v="-"/>
    <s v="-"/>
    <s v="گیر استپر موتور"/>
    <s v="استپر موتور تحویل مهندس رحمانی پور"/>
    <s v="استپر موتور"/>
    <s v="قطعه معیوب"/>
    <s v="ایراد در مواد اولیه "/>
    <n v="1"/>
    <s v="IK01917980"/>
    <s v="-"/>
    <s v="1403/08/09"/>
    <s v="کاظمی پور"/>
    <x v="1"/>
    <s v="-"/>
    <s v="-"/>
    <s v="بسته شده"/>
    <s v="-"/>
    <s v="-"/>
  </r>
  <r>
    <n v="1"/>
    <s v="-"/>
    <n v="203284"/>
    <s v="1403/07/26"/>
    <s v="1403/07"/>
    <x v="6"/>
    <x v="0"/>
    <s v="جلو آمپر"/>
    <s v="جلو آمپر دنا ST"/>
    <s v="ايراد عملكردجلوآمپر(قطع و وصل پشت آمپر ) رويت شد."/>
    <s v=" صداي اضافه و قطع و وصل پشت آمپر"/>
    <s v="OK"/>
    <s v="1403/08/18"/>
    <s v="-"/>
    <s v="-"/>
    <s v="-"/>
    <s v="-"/>
    <s v="شکسته بودن خازن ورودی رگلاتور"/>
    <s v="خازن بر اثر جایگذاری نامناسب برد و یا جابجایی شکسته"/>
    <s v="خازن"/>
    <s v="قطعه شکسته"/>
    <s v="بر اثر جابجایی"/>
    <n v="1"/>
    <s v="IK00843780"/>
    <s v="-"/>
    <s v="1403/08/13"/>
    <s v="کاظمی پور"/>
    <x v="0"/>
    <s v="-"/>
    <s v="-"/>
    <s v="بسته شده"/>
    <s v="-"/>
    <s v="-"/>
  </r>
  <r>
    <n v="1"/>
    <s v="-"/>
    <n v="203380"/>
    <s v="1403/07/28"/>
    <s v="1403/07"/>
    <x v="6"/>
    <x v="0"/>
    <s v="جلو آمپر"/>
    <s v="جلو آمپر207  معمولی85 گانه"/>
    <s v="ايراد عملكردجلوآمپر(عدم عملكرد كامل ) رويت شد."/>
    <s v="عدم عملكرد كامل "/>
    <s v="NOK"/>
    <s v="1403/08/18"/>
    <s v="-"/>
    <s v="-"/>
    <s v="-"/>
    <s v="-"/>
    <s v="باتوجه به بررسی کارگروه ایراد در مقدار خازن کریستال میباشد که از 22پیکو به 10 پیکو کاهش یافت"/>
    <s v="با شوک حرارتی قطعه Okشد"/>
    <s v="کریستال"/>
    <s v="قطعه معیوب"/>
    <s v="ایراد در مواد اولیه "/>
    <n v="1"/>
    <s v="IK01033680"/>
    <s v="-"/>
    <s v="1403/08/13"/>
    <s v="کاظمی پور"/>
    <x v="1"/>
    <s v="-"/>
    <s v="-"/>
    <s v="بسته شده"/>
    <s v="مقدار خازن کریستال از 22پیکو به 10 پیکو کاهش یافت"/>
    <s v="-"/>
  </r>
  <r>
    <n v="1"/>
    <s v="-"/>
    <n v="203385"/>
    <s v="1403/07/28"/>
    <s v="1403/07"/>
    <x v="6"/>
    <x v="0"/>
    <s v="NOD"/>
    <s v="NBCM TARA SAL"/>
    <s v="اختلال عملكردي نودهاي مرتبط با NBCM طبق گزارش پسويت"/>
    <s v="ایتراک"/>
    <s v="-"/>
    <s v="-"/>
    <s v="-"/>
    <s v="-"/>
    <s v="-"/>
    <s v="-"/>
    <s v="-"/>
    <s v="-"/>
    <s v="-"/>
    <s v="عدم دریافت قطعه"/>
    <s v="عدم دریافت قطعه"/>
    <n v="1"/>
    <s v="IK01843080"/>
    <s v="-"/>
    <s v="-"/>
    <s v="-"/>
    <x v="2"/>
    <s v="-"/>
    <s v="-"/>
    <s v="عدم دریافت قطعه"/>
    <s v="-"/>
    <s v="-"/>
  </r>
  <r>
    <n v="1"/>
    <s v="-"/>
    <n v="203468"/>
    <s v="1403/07/29"/>
    <s v="1403/07"/>
    <x v="6"/>
    <x v="0"/>
    <s v="کلید شیشه بالابر"/>
    <s v="کلید شیشه بالابر عقب چپ سورن"/>
    <s v="پليسه گيري نامطلوب كليد شيشه بالابر*****طرقي"/>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5"/>
    <s v="IK016270PB"/>
    <s v="-"/>
    <s v="-"/>
    <s v="-"/>
    <x v="2"/>
    <s v="-"/>
    <s v="-"/>
    <s v="بسته شده"/>
    <s v="-"/>
    <s v="-"/>
  </r>
  <r>
    <n v="1"/>
    <s v="-"/>
    <n v="203534"/>
    <s v="1403/07/30"/>
    <s v="1403/07"/>
    <x v="6"/>
    <x v="0"/>
    <s v="NOD"/>
    <s v="NBCM DENA"/>
    <s v="ايراد عملكرد  NBCM  ( روشن نشدن خودرو استارت عملكرد ندارد) 2 مورد رويت شد"/>
    <s v=" روشن نشدن خودرو"/>
    <s v="NOK"/>
    <s v="1403/08/13"/>
    <s v="-"/>
    <s v="-"/>
    <s v="-"/>
    <s v="-"/>
    <s v="قطعه دیود معیوب"/>
    <s v="قطعه مورد تایید نبوده و در محصول استفاده گردیده"/>
    <s v=" دیود"/>
    <s v="قطعه معیوب"/>
    <s v="ایراد در مواد اولیه "/>
    <n v="2"/>
    <s v="IK01403980"/>
    <s v="-"/>
    <s v="1403/08/13"/>
    <s v="کاظمی پور"/>
    <x v="1"/>
    <s v="-"/>
    <s v="-"/>
    <s v="بسته شده"/>
    <s v="-"/>
    <s v="-"/>
  </r>
  <r>
    <n v="1"/>
    <s v="-"/>
    <n v="203553"/>
    <s v="1403/07/30"/>
    <s v="1403/07"/>
    <x v="6"/>
    <x v="0"/>
    <s v="کلید شیشه بالابر"/>
    <s v="کلید شیشه بالابر جلو چپ دنا"/>
    <s v="عدم عملكرد كليد آينه تاشو در مجموعه كليد شيشه بالابر جلو چپ - خاكستري تيره- خودرو دنا؛ مرتبط با  شركت سازه پويش"/>
    <s v="عدم عملكرد ادوات برقي خودرو "/>
    <s v="NOK"/>
    <s v="1403/08/13"/>
    <s v="-"/>
    <s v="-"/>
    <s v="-"/>
    <s v="-"/>
    <s v="عدم اتصال صحيح پايه ic"/>
    <s v="-"/>
    <s v="IC "/>
    <s v="عدم اتصال صحیح پایه(IC)"/>
    <s v="استفاده از استنسيل شركت فراكلون"/>
    <n v="1"/>
    <s v="IK014085DG"/>
    <s v="-"/>
    <s v="1403/08/09"/>
    <s v="کاظمی پور"/>
    <x v="3"/>
    <s v="SCREEN PRINTER"/>
    <s v="-"/>
    <s v="بسته شده"/>
    <s v="-"/>
    <s v="-"/>
  </r>
  <r>
    <n v="1"/>
    <s v="-"/>
    <n v="203619"/>
    <s v="1403/08/01"/>
    <s v="1403/08"/>
    <x v="7"/>
    <x v="0"/>
    <s v="کلید شیشه بالابر"/>
    <s v="کلید شیشه بالابر عقب راست سورن"/>
    <s v="وجود پليسه و پليسه گيري نامناسب قاب كليد شيشه بالابر عقب راست"/>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3"/>
    <s v="IK016271PB"/>
    <s v="-"/>
    <s v="-"/>
    <s v="-"/>
    <x v="2"/>
    <s v="-"/>
    <s v="-"/>
    <s v="بسته شده"/>
    <s v="-"/>
    <s v="-"/>
  </r>
  <r>
    <n v="1"/>
    <s v="-"/>
    <n v="203749"/>
    <s v="1403/08/05"/>
    <s v="1403/08"/>
    <x v="7"/>
    <x v="0"/>
    <s v="جلو آمپر"/>
    <s v="جلو آمپر تارا اتوماتیک"/>
    <s v="ايراد ظاهري جلوآمپر(كج بودن عقربه دور موتور ) رويت شد"/>
    <s v="عقربه"/>
    <s v="NOK"/>
    <s v="1403/09/07"/>
    <s v="-"/>
    <s v="-"/>
    <s v="-"/>
    <s v="-"/>
    <s v="در زمان مونتاژ عقربه به دلیل عدم جایگیری صحیح در گیج با فشار لودسل عقربه کج و توسط بازرس دیده نشده"/>
    <s v="انحنا در عقربه"/>
    <s v="عقربه"/>
    <s v="قطعه معیوب"/>
    <s v="عدم جایگذاری مناسب عقربه در فیکسچر"/>
    <n v="1"/>
    <s v="IK01348180"/>
    <s v="-"/>
    <s v="1403/09/07"/>
    <s v="کاظمی پور"/>
    <x v="4"/>
    <s v="-"/>
    <s v="تندرو،زندی"/>
    <s v="بسته شده"/>
    <s v="-"/>
    <s v="-"/>
  </r>
  <r>
    <n v="1"/>
    <s v="-"/>
    <n v="203785"/>
    <s v="1403/08/05"/>
    <s v="1403/08"/>
    <x v="7"/>
    <x v="0"/>
    <s v="کلید شیشه بالابر"/>
    <s v="کلید شیشه بالابر جلو چپ سورن"/>
    <s v="ايراد عدم عملكرد كليد ها طبق بررسي مشخص گرديد ايراد مربوط به درفتگي خار پنل كليد بالابر كه ايراد به رويت نماينده سازنده اقاي راوندي رسيد"/>
    <s v="ایراد ظاهری"/>
    <s v="-"/>
    <s v="-"/>
    <s v="-"/>
    <s v="-"/>
    <s v="-"/>
    <s v="-"/>
    <s v="کم بودن گوشت خار مجموعه کلید"/>
    <s v="-"/>
    <s v="قاب"/>
    <s v="چفت نشدن خار"/>
    <s v="ایراد در مواد اولیه "/>
    <n v="5"/>
    <s v="IK016268PB"/>
    <s v="-"/>
    <s v="1403/09/07"/>
    <s v="کاظمی پور"/>
    <x v="1"/>
    <s v="-"/>
    <s v="-"/>
    <s v="بسته شده"/>
    <s v="-"/>
    <s v="-"/>
  </r>
  <r>
    <n v="1"/>
    <s v="-"/>
    <n v="203803"/>
    <s v="1403/08/06"/>
    <s v="1403/08"/>
    <x v="7"/>
    <x v="0"/>
    <s v="NOD"/>
    <s v="NBCM TARA SAL"/>
    <s v="ايراد عملكرد  NBCM  (خطاي مجازي .عدم پيكربنديNot OK) 1 مورد رويت شد"/>
    <s v="خطاي مجازي"/>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843080"/>
    <s v="-"/>
    <s v="-"/>
    <s v="-"/>
    <x v="2"/>
    <s v="-"/>
    <s v="-"/>
    <s v="بسته شده"/>
    <s v="-"/>
    <s v="-"/>
  </r>
  <r>
    <n v="1"/>
    <s v="-"/>
    <n v="203821"/>
    <s v="1403/08/06"/>
    <s v="1403/08"/>
    <x v="7"/>
    <x v="0"/>
    <s v="NOD"/>
    <s v="NBCM DENA"/>
    <s v="ايراد عملكرد  NBCM  (يكسره روشن ماندن چراغهاي جلو) يك مورد رويت شد"/>
    <s v="عملکرد یکسره ادوات برقی"/>
    <s v="NOK"/>
    <s v="1403/08/13"/>
    <s v="-"/>
    <s v="-"/>
    <s v="-"/>
    <s v="-"/>
    <s v="قطعه دیود معیوب"/>
    <s v="قطعه مورد تایید نبوده و در محصول استفاده گردیده"/>
    <s v=" دیود"/>
    <s v="قطعه معیوب"/>
    <s v="ایراد در مواد اولیه "/>
    <n v="1"/>
    <s v="IK01403980"/>
    <s v="-"/>
    <s v="1403/08/13"/>
    <s v="کاظمی پور"/>
    <x v="1"/>
    <s v="-"/>
    <s v="-"/>
    <s v="بسته شده"/>
    <s v="-"/>
    <s v="-"/>
  </r>
  <r>
    <n v="1"/>
    <s v="-"/>
    <n v="203872"/>
    <s v="1403/08/09"/>
    <s v="1403/08"/>
    <x v="7"/>
    <x v="0"/>
    <s v="NOD"/>
    <s v="NBCM SOREN"/>
    <s v="عدم عملكرد ريموت  2.روشن نشدن خودرو_طي بررسي هاي صورت گرفته منشأ ايراد مشاهده شده در سالن  مونتاژ از نقص كيفي قطعه CBM مي باشد.ايراد به روئيت نماينده ساپكو رسيده است."/>
    <s v="عدم عملكرد قفل مركزي/ریموت"/>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5"/>
    <s v="IK01750880"/>
    <s v="-"/>
    <s v="-"/>
    <s v="-"/>
    <x v="2"/>
    <s v="-"/>
    <s v="-"/>
    <s v="بسته شده"/>
    <s v="-"/>
    <s v="-"/>
  </r>
  <r>
    <n v="1"/>
    <s v="-"/>
    <n v="203908"/>
    <s v="1403/08/09"/>
    <s v="1403/08"/>
    <x v="7"/>
    <x v="0"/>
    <s v="NOD"/>
    <s v="NBCM 207"/>
    <s v="ايراد عدم مونتاژ  NBCM  (عدم مونتاژNBCM برروي براكت شل بودن مهره ) هشت مورد رويت شد"/>
    <s v="براکت"/>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8"/>
    <s v="IK01596980"/>
    <s v="-"/>
    <s v="-"/>
    <s v="-"/>
    <x v="2"/>
    <s v="-"/>
    <s v="-"/>
    <s v="بسته شده"/>
    <s v="-"/>
    <s v="-"/>
  </r>
  <r>
    <n v="1"/>
    <s v="-"/>
    <n v="203957"/>
    <s v="1403/08/09"/>
    <s v="1403/08"/>
    <x v="7"/>
    <x v="0"/>
    <s v="NOD"/>
    <s v="NBCM DENA"/>
    <s v="ايراد عملكردي  NBCM روشن نشدن خودرو (عدم عملكرد استارت  ) 2 مورد رويت شد"/>
    <s v=" روشن نشدن خودرو"/>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2"/>
    <s v="IK01403980"/>
    <s v="-"/>
    <s v="-"/>
    <s v="-"/>
    <x v="2"/>
    <s v="-"/>
    <s v="-"/>
    <s v="بسته شده"/>
    <s v="-"/>
    <s v="-"/>
  </r>
  <r>
    <n v="1"/>
    <s v="-"/>
    <n v="203961"/>
    <s v="1403/08/10"/>
    <s v="1403/08"/>
    <x v="7"/>
    <x v="0"/>
    <s v="جلو آمپر"/>
    <s v="جلو آمپرSOREN TC 85 گانه"/>
    <s v="جداشدن قاب تزئيني(تلق)جلو آمپر_طي بررسي هاي صورت گرفته منشأ ايراد مشاهده شده در سالن مونتاژ از عدم فرايند صحيح توليد قطعه توسط سازنده مي باشد.ايراد به روئيت نماينده ساپكو رسيده است."/>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3"/>
    <s v="IK01033880"/>
    <s v="-"/>
    <s v="-"/>
    <s v="-"/>
    <x v="2"/>
    <s v="-"/>
    <s v="-"/>
    <s v="بسته شده"/>
    <s v="-"/>
    <s v="-"/>
  </r>
  <r>
    <n v="1"/>
    <s v="-"/>
    <n v="204119"/>
    <s v="1403/08/13"/>
    <s v="1403/08"/>
    <x v="7"/>
    <x v="0"/>
    <s v="NOD"/>
    <s v="NBCM DENA"/>
    <s v="ايراد عملكردي جلوآمپر(عدم عملكردكامل ) رويت شد."/>
    <s v="عدم عملكرد ادوات برقي خودرو "/>
    <s v="NOK"/>
    <s v="1403/09/07"/>
    <s v="-"/>
    <s v="-"/>
    <s v="-"/>
    <s v="-"/>
    <s v="برنامه روی جلو آمپر مربوط به شرکت نمی باشد"/>
    <s v="-"/>
    <s v="محصول"/>
    <s v="کانفینگ اشتباه"/>
    <s v="تغییرتنظیمات توسط مشتری"/>
    <n v="1"/>
    <s v="IK01403980"/>
    <s v="-"/>
    <s v="1402/07/24"/>
    <s v="کاظمی پور"/>
    <x v="0"/>
    <s v="-"/>
    <s v="-"/>
    <s v="بسته شده"/>
    <s v="-"/>
    <s v="-"/>
  </r>
  <r>
    <n v="1"/>
    <s v="-"/>
    <n v="204307"/>
    <s v="1403/08/16"/>
    <s v="1403/08"/>
    <x v="7"/>
    <x v="0"/>
    <s v="NOD"/>
    <s v="NBCM DENA"/>
    <s v="ايراد عملكردي  NBCM (پمپ شيشه شور يكسره ) يك مورد رويت شد"/>
    <s v="عملکرد یکسره ادوات برق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403980"/>
    <s v="-"/>
    <s v="-"/>
    <s v="-"/>
    <x v="2"/>
    <s v="-"/>
    <s v="-"/>
    <s v="بسته شده"/>
    <s v="-"/>
    <s v="-"/>
  </r>
  <r>
    <n v="1"/>
    <s v="-"/>
    <n v="204346"/>
    <s v="1403/08/16"/>
    <s v="1403/08"/>
    <x v="7"/>
    <x v="0"/>
    <s v="NOD"/>
    <s v="NBCM 207"/>
    <s v="مردود شدن در لاگ برداري انجام شده در ايتراك عطف به گزارش پيوست."/>
    <s v="ایتراک"/>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596980"/>
    <s v="-"/>
    <s v="-"/>
    <s v="-"/>
    <x v="2"/>
    <s v="-"/>
    <s v="-"/>
    <s v="بسته شده"/>
    <s v="-"/>
    <s v="-"/>
  </r>
  <r>
    <n v="1"/>
    <s v="-"/>
    <n v="204512"/>
    <s v="1403/08/29"/>
    <s v="1403/08"/>
    <x v="7"/>
    <x v="0"/>
    <s v="NOD"/>
    <s v="NBCM TARA SAL"/>
    <s v="ايراد عملكردي  NBCM (تعريف سويچ)يك مورد رويت شد"/>
    <s v="عدم عملكرد قفل مركزي/ریموت"/>
    <s v="NOK"/>
    <s v="1403/09/07"/>
    <s v="-"/>
    <s v="-"/>
    <s v="-"/>
    <s v="-"/>
    <s v="ماژول معیوب"/>
    <s v="-"/>
    <s v="ماژول "/>
    <s v="قطعه معیوب"/>
    <s v="ایراد در مواد اولیه "/>
    <n v="1"/>
    <s v="IK01843080"/>
    <s v="-"/>
    <s v="1403/09/07"/>
    <s v="کاظمی پور"/>
    <x v="1"/>
    <s v="-"/>
    <s v="-"/>
    <s v="بسته شده"/>
    <s v="-"/>
    <s v="-"/>
  </r>
  <r>
    <n v="1"/>
    <s v="-"/>
    <n v="204513"/>
    <s v="1403/08/24"/>
    <s v="1403/08"/>
    <x v="7"/>
    <x v="0"/>
    <s v="NOD"/>
    <s v="NBCM TARA SAL"/>
    <s v="ايراد عملكردي  NBCM (صداي بازر دنده عقب قطعي و غير عادي )دو مورد رويت شد"/>
    <s v="عدم اعلام  اخطار  هشدار(بازر)"/>
    <s v="NOK"/>
    <s v="1403/09/07"/>
    <s v="-"/>
    <s v="-"/>
    <s v="-"/>
    <s v="-"/>
    <s v="استفاده از بازرURS"/>
    <s v="با تاییدیه مهندس یگانه و میبدی"/>
    <s v="بازر"/>
    <s v="استفاده از بازرURS"/>
    <s v="عدم تامین بازر"/>
    <n v="2"/>
    <s v="IK01843080"/>
    <s v="-"/>
    <s v="1403/09/07"/>
    <s v="کاظمی پور"/>
    <x v="0"/>
    <s v="-"/>
    <s v="-"/>
    <s v="بسته شده"/>
    <s v="-"/>
    <s v="-"/>
  </r>
  <r>
    <n v="1"/>
    <s v="-"/>
    <n v="204515"/>
    <s v="1403/08/22"/>
    <s v="1403/08"/>
    <x v="7"/>
    <x v="0"/>
    <s v="NOD"/>
    <s v="NBCM TARA SAL"/>
    <s v="ايراد عملكردي  NBCM (علائم سنسور دنده عقب )يك مورد رويت شد"/>
    <s v="عدم اعلام  اخطار  هشدار(بازر)"/>
    <s v="OK"/>
    <s v="1403/09/07"/>
    <s v="-"/>
    <s v="-"/>
    <s v="-"/>
    <s v="-"/>
    <s v="عدم اتصال ديود به پد"/>
    <s v="عدم مونتاژ صحيح قطعه توسط دستگاه MOUNTING"/>
    <s v="دیود"/>
    <s v="پایه بالا"/>
    <s v="عدم مونتاژ صحيح قطعه توسط دستگاه MOUNTING_x0009_"/>
    <n v="1"/>
    <s v="IK01843080"/>
    <s v="-"/>
    <s v="1403/09/07"/>
    <s v="کاظمی پور"/>
    <x v="3"/>
    <s v="MONNTER.SAMSUNG"/>
    <s v="-"/>
    <s v="بسته شده"/>
    <s v="-"/>
    <s v="-"/>
  </r>
  <r>
    <n v="1"/>
    <s v="-"/>
    <n v="204516"/>
    <s v="1403/08/20"/>
    <s v="1403/08"/>
    <x v="7"/>
    <x v="0"/>
    <s v="NOD"/>
    <s v="NBCM TARA SAL"/>
    <s v="ايراد عملكردي  NBCM (عملكرد شيشه بالابر جلو راست)يك مورد رويت شد"/>
    <s v="عدم عملكرد ادوات برقي خودرو "/>
    <s v="NOK"/>
    <s v="1403/09/07"/>
    <s v="-"/>
    <s v="-"/>
    <s v="-"/>
    <s v="-"/>
    <s v="قطعه شنت سوخته"/>
    <s v="يش از 4000000 از قطعه شنت در محصول NBCM استفاده شده و با توجه به سوابق كيفي هيچ مورد خرابي رويت نشده و با توجه به اينكه 2 عدد شنت همزمان كه در PCB به صورت موازي قرار دارد سوخته است و به احتمال زياد عوامل خارجي باعث ورود جريان بيش از 40 آمنپر در PCB باعث سوختگي شده است .با توجه به شواهد و سوابق كنترل قطعه در تستر كنترل نهايي محصول در زمان ارسال داراي عملكرد بوده است."/>
    <s v="شنت"/>
    <s v="قطعه معیوب"/>
    <s v="نامشخص"/>
    <n v="1"/>
    <s v="IK01843080"/>
    <s v="-"/>
    <s v="1403/09/07"/>
    <s v="کاظمی پور"/>
    <x v="2"/>
    <s v="-"/>
    <s v="-"/>
    <s v="بسته شده"/>
    <s v="-"/>
    <s v="-"/>
  </r>
  <r>
    <n v="1"/>
    <s v="-"/>
    <n v="204520"/>
    <s v="1403/08/20"/>
    <s v="1403/08"/>
    <x v="7"/>
    <x v="0"/>
    <s v="جلو آمپر"/>
    <s v="جلو آمپر دنا ST"/>
    <s v="ايراد ظاهري جلوآمپر(آبكاري زه كرومي آمپر دور موتور) رويت شد."/>
    <s v="ایراد ظاهری"/>
    <s v="NOK"/>
    <s v="1403/09/07"/>
    <s v="-"/>
    <s v="-"/>
    <s v="-"/>
    <s v="-"/>
    <s v="تحویل مهندس مرادی"/>
    <s v="-"/>
    <s v="رینگ"/>
    <s v="آبكاري زه كرومي"/>
    <s v="ایراد در مواد اولیه "/>
    <n v="1"/>
    <s v="IK00843780"/>
    <s v="-"/>
    <s v="1403/09/07"/>
    <s v="کاظمی پور"/>
    <x v="1"/>
    <s v="-"/>
    <s v="-"/>
    <s v="بسته شده"/>
    <s v="-"/>
    <s v="-"/>
  </r>
  <r>
    <n v="1"/>
    <s v="-"/>
    <n v="204671"/>
    <s v="1403/08/22"/>
    <s v="1403/08"/>
    <x v="7"/>
    <x v="0"/>
    <s v="جلو آمپر"/>
    <s v="جلو آمپر دنا ST"/>
    <s v="ايراد عملكرد جلوآمپر(بالاي صفحه نمايشگر سمت چپ اثر لكه) رويت شد"/>
    <s v="LCD"/>
    <s v="NOK"/>
    <s v="1403/09/07"/>
    <s v="-"/>
    <s v="-"/>
    <s v="-"/>
    <s v="-"/>
    <s v="کنده نشدن برچسب پشت LCD"/>
    <s v="-"/>
    <s v="LCD"/>
    <s v="کنده نشدن برچسب LCD"/>
    <s v="عدم دقت اپراتور"/>
    <n v="1"/>
    <s v="IK00843780"/>
    <s v="-"/>
    <s v="1403/09/07"/>
    <s v="کاظمی پور"/>
    <x v="4"/>
    <s v="-"/>
    <s v="اکرادی،اعتمادی"/>
    <s v="بسته شده"/>
    <s v="-"/>
    <s v="-"/>
  </r>
  <r>
    <n v="1"/>
    <s v="-"/>
    <n v="204683"/>
    <s v="1403/08/22"/>
    <s v="1403/08"/>
    <x v="7"/>
    <x v="0"/>
    <s v="کلید شیشه بالابر"/>
    <s v="کلید شیشه بالابر جلو راست سورن"/>
    <s v="دفرمگي و ظاهر نامناسب قاب كليد شيشه بالابر جلو راست"/>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3"/>
    <s v="IK016269PB"/>
    <s v="-"/>
    <s v="-"/>
    <s v="-"/>
    <x v="2"/>
    <s v="-"/>
    <s v="-"/>
    <s v="بسته شده"/>
    <s v="-"/>
    <s v="-"/>
  </r>
  <r>
    <n v="1"/>
    <s v="-"/>
    <n v="204702"/>
    <s v="1403/08/24"/>
    <s v="1403/08"/>
    <x v="7"/>
    <x v="0"/>
    <s v="NOD"/>
    <s v="NBCM SOREN"/>
    <s v="ايراد جعبه الكترونيكي  nbcm ايراد عدم ارسال سيگنا به رله استارت خودرو به تعداد 4 مورد عزيزي"/>
    <s v=" روشن نشدن خودرو"/>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4"/>
    <s v="IK01750880"/>
    <s v="-"/>
    <s v="-"/>
    <s v="-"/>
    <x v="2"/>
    <s v="-"/>
    <s v="-"/>
    <s v="بسته شده"/>
    <s v="-"/>
    <s v="-"/>
  </r>
  <r>
    <n v="1"/>
    <s v="-"/>
    <n v="204733"/>
    <s v="1403/08/24"/>
    <s v="1403/08"/>
    <x v="7"/>
    <x v="0"/>
    <s v="NOD"/>
    <s v="NBCM TARA SAL"/>
    <s v="ايراد مغايرت كانكتور قطعه NBCM يك نمونه رويت شد"/>
    <s v="کانکتور"/>
    <s v="-"/>
    <s v="-"/>
    <s v="-"/>
    <s v="-"/>
    <s v="-"/>
    <s v="-"/>
    <s v="-"/>
    <s v="مونتاژ اشتباه کانکتور 40 پین"/>
    <s v="کانکتور 40 پین"/>
    <s v="کانکتور"/>
    <s v="عدم دقت اپراتور"/>
    <n v="1"/>
    <s v="IK01843080"/>
    <s v="-"/>
    <s v="-"/>
    <s v="-"/>
    <x v="4"/>
    <s v="-"/>
    <s v="نامشخص"/>
    <s v="بسته شده"/>
    <s v="-"/>
    <s v="-"/>
  </r>
  <r>
    <n v="1"/>
    <s v="-"/>
    <n v="204855"/>
    <s v="1403/08/27"/>
    <s v="1403/08"/>
    <x v="7"/>
    <x v="0"/>
    <s v="جلو آمپر"/>
    <s v="جلو آمپر دنا ST"/>
    <s v="ايراد عملكرد جلوآمپر(عدم عملكردآمپر بنزين ) رويت شد."/>
    <s v="عقربه"/>
    <s v="NOK"/>
    <s v="1403/09/12"/>
    <s v="-"/>
    <s v="-"/>
    <s v="-"/>
    <s v="-"/>
    <s v="گیر استپر موتور"/>
    <s v="-"/>
    <s v="استپر موتور"/>
    <s v="قطعه معیوب"/>
    <s v="ایراد در مواد اولیه "/>
    <n v="1"/>
    <s v="IK00843780"/>
    <s v="RJAD1F11800221"/>
    <s v="1403/09/12"/>
    <s v="کاظمی پور"/>
    <x v="1"/>
    <s v="-"/>
    <s v="-"/>
    <s v="بسته شده"/>
    <s v="-"/>
    <s v="-"/>
  </r>
  <r>
    <n v="1"/>
    <s v="-"/>
    <n v="204993"/>
    <s v="1403/08/29"/>
    <s v="1403/08"/>
    <x v="7"/>
    <x v="0"/>
    <s v="جلو آمپر"/>
    <s v="جلو آمپر207 اتوماتیک85 گانه"/>
    <s v="ايراد ظاهري جلوآمپر(اشياء اضافه در آمپر دور موتور) رويت شد."/>
    <s v="ایراد ظاهری"/>
    <s v="NOK"/>
    <s v="1403/09/12"/>
    <s v="-"/>
    <s v="-"/>
    <s v="-"/>
    <s v="-"/>
    <s v="ظاهری"/>
    <s v="پلیسه لایت باکس"/>
    <s v="لایت باکس"/>
    <s v="پلیسه"/>
    <s v="ایراد در مواد اولیه "/>
    <n v="1"/>
    <s v="IK01917980"/>
    <s v="RJA24F12360145"/>
    <s v="1403/09/12"/>
    <s v="کاظمی پور"/>
    <x v="1"/>
    <s v="-"/>
    <s v="-"/>
    <s v="بسته شده"/>
    <s v="-"/>
    <s v="-"/>
  </r>
  <r>
    <n v="1"/>
    <s v="-"/>
    <n v="205012"/>
    <s v="1403/08/29"/>
    <s v="1403/08"/>
    <x v="7"/>
    <x v="0"/>
    <s v="کلید شیشه بالابر"/>
    <s v="کلید شیشه بالابر عقب چپ سورن"/>
    <s v="ايراد ناصافي و دفرمگي پنل كليد شيشه بالابر در عقب چپ( پليسه دار بودن قطعه )"/>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0"/>
    <s v="IK016270PB"/>
    <s v="-"/>
    <s v="-"/>
    <s v="-"/>
    <x v="2"/>
    <s v="-"/>
    <s v="-"/>
    <s v="بسته شده"/>
    <s v="-"/>
    <s v="-"/>
  </r>
  <r>
    <n v="1"/>
    <s v="-"/>
    <n v="205124"/>
    <s v="1403/09/03"/>
    <s v="1403/09"/>
    <x v="8"/>
    <x v="0"/>
    <s v="جلو آمپر"/>
    <s v="جلو آمپر دنا ST"/>
    <s v="ايراد صداي اضافه جلوآمپر(در حالت سويچ باز) رويت شد."/>
    <s v=" صداي اضافه و قطع و وصل پشت آمپر"/>
    <s v="OK"/>
    <s v="1403/09/12"/>
    <s v="-"/>
    <s v="-"/>
    <s v="-"/>
    <s v="-"/>
    <s v="شکسته بودن خازن ورودی رگلاتور"/>
    <s v="خازن بر اثر جایگذاری نامناسب برد و یا جابجایی شکسته"/>
    <s v="خازن"/>
    <s v="قطعه شکسته"/>
    <s v="بر اثر جابجایی"/>
    <n v="1"/>
    <s v="IK00843780"/>
    <s v="-"/>
    <s v="1403/08/13"/>
    <s v="کاظمی پور"/>
    <x v="0"/>
    <s v="-"/>
    <s v="-"/>
    <s v="بسته شده"/>
    <s v="-"/>
    <s v="-"/>
  </r>
  <r>
    <n v="1"/>
    <s v="-"/>
    <n v="205257"/>
    <s v="1403/09/20"/>
    <s v="1403/09"/>
    <x v="8"/>
    <x v="0"/>
    <s v="کلید شیشه بالابر"/>
    <s v="کلید شیشه بالابر جلو چپ سورن"/>
    <s v="ايراد عدم عملكرد كليد قطع كن شيشه بالابر درب هاي عقب. ايراد به روئيت نماينده ساپكو رسيد."/>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6268PB"/>
    <s v="-"/>
    <s v="-"/>
    <s v="-"/>
    <x v="2"/>
    <s v="-"/>
    <s v="-"/>
    <s v="بسته شده"/>
    <s v="-"/>
    <s v="-"/>
  </r>
  <r>
    <n v="1"/>
    <s v="-"/>
    <n v="205317"/>
    <s v="1403/09/06"/>
    <s v="1403/09"/>
    <x v="8"/>
    <x v="0"/>
    <s v="جلو آمپر"/>
    <s v="جلو آمپر تارا اتوماتیک"/>
    <s v="ايراد عملكرد آمپر(عدم عملكرد كامل) رويت گرديد"/>
    <s v="عدم عملكرد كامل "/>
    <s v="OK"/>
    <s v="1403/09/20"/>
    <s v="-"/>
    <s v="-"/>
    <s v="-"/>
    <s v="-"/>
    <s v="باتوجه به بررسی کارگروه ایراد در مقدار خازن کریستال میباشد که از 22پیکو به 10 پیکو کاهش یافت"/>
    <s v="کمبود قلع کریستال"/>
    <s v="کریستال"/>
    <s v="کمبود قلع "/>
    <s v="مسدود بودن بخشی از سوراخ استنسیل و کامل نشدن مرحله چاپ قلع"/>
    <n v="1"/>
    <s v="IK01348180"/>
    <s v="-"/>
    <s v="1403/09/20"/>
    <s v="کاظمی پور"/>
    <x v="3"/>
    <s v="SCREEN PRINTER"/>
    <s v="-"/>
    <s v="بسته شده"/>
    <s v="مقدار خازن کریستال از 22پیکو به 10 پیکو کاهش یافت"/>
    <s v="-"/>
  </r>
  <r>
    <n v="1"/>
    <s v="-"/>
    <n v="205346"/>
    <s v="1403/09/06"/>
    <s v="1403/09"/>
    <x v="8"/>
    <x v="0"/>
    <s v="جلو آمپر"/>
    <s v="جلو آمپر دنا ST"/>
    <s v="ايراد عملكردآمپر(عدم عملكرد نگيني AUTO) رويت گرديد"/>
    <s v="عملکرد نگینی(لوگو)"/>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0843780"/>
    <s v="-"/>
    <s v="-"/>
    <s v="-"/>
    <x v="2"/>
    <s v="-"/>
    <s v="-"/>
    <s v="بسته شده"/>
    <s v="-"/>
    <s v="-"/>
  </r>
  <r>
    <n v="1"/>
    <s v="-"/>
    <n v="205405"/>
    <s v="1403/09/08"/>
    <s v="1403/09"/>
    <x v="8"/>
    <x v="0"/>
    <s v="جلو آمپر"/>
    <s v="جلو آمپر دنا اتوماتیک"/>
    <s v="ايراد عملكردآمپر(عدم عملكرد بك لايت آمپر) رويت گرديد"/>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0929380"/>
    <s v="-"/>
    <s v="-"/>
    <s v="-"/>
    <x v="2"/>
    <s v="-"/>
    <s v="-"/>
    <s v="بسته شده"/>
    <s v="-"/>
    <s v="-"/>
  </r>
  <r>
    <n v="1"/>
    <s v="-"/>
    <n v="205646"/>
    <s v="1403/09/13"/>
    <s v="1403/09"/>
    <x v="8"/>
    <x v="0"/>
    <s v="جلو آمپر"/>
    <s v="جلو آمپر دنا ST"/>
    <s v="ايراد عملكردآمپر(كم نور بودن صفحه نمايشگر) رويت گرديد"/>
    <s v="LCD"/>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0843780"/>
    <s v="-"/>
    <s v="-"/>
    <s v="-"/>
    <x v="2"/>
    <s v="-"/>
    <s v="-"/>
    <s v="بسته شده"/>
    <s v="-"/>
    <s v="-"/>
  </r>
  <r>
    <n v="1"/>
    <s v="-"/>
    <n v="206009"/>
    <s v="1403/09/21"/>
    <s v="1403/09"/>
    <x v="8"/>
    <x v="0"/>
    <s v="جلو آمپر"/>
    <s v="جلو آمپر207  معمولی85 گانه"/>
    <s v="ايراد عملكرد جلو آمپر عدم عملكرد كامل به اطلاع مهندس لهراسبي رسانده شد."/>
    <s v="عدم عملكرد كامل "/>
    <s v="NOK"/>
    <s v="1403/09/20"/>
    <s v="-"/>
    <s v="-"/>
    <s v="-"/>
    <s v="-"/>
    <s v="باتوجه به بررسی کارگروه ایراد در مقدار خازن کریستال میباشد که از 22پیکو به 10 پیکو کاهش یافت"/>
    <s v="با مونتاژ مجدد محصول کار کرد"/>
    <s v="کریستال"/>
    <s v="کمبود قلع "/>
    <s v="مسدود بودن بخشی از سوراخ استنسیل و کامل نشدن مرحله چاپ قلع"/>
    <n v="1"/>
    <s v="IK01033680"/>
    <s v="RJA32F12530526"/>
    <s v="1403/09/20"/>
    <s v="کاظمی پور"/>
    <x v="3"/>
    <s v="SCREEN PRINTER"/>
    <s v="-"/>
    <s v="بسته شده"/>
    <s v="مقدار خازن کریستال از 22پیکو به 10 پیکو کاهش یافت"/>
    <s v="-"/>
  </r>
  <r>
    <n v="1"/>
    <s v="-"/>
    <n v="206254"/>
    <s v="1403/09/25"/>
    <s v="1403/09"/>
    <x v="8"/>
    <x v="0"/>
    <s v="NOD"/>
    <s v="NBCM TARA SAL"/>
    <s v="ايراد عملكرد NBCM (عدم عملكردراهنماي چپ ) رويت شد"/>
    <s v="عدم عملكرد ادوات برقي خودرو "/>
    <s v="NOK"/>
    <s v="1403/09/20"/>
    <s v="-"/>
    <s v="-"/>
    <s v="-"/>
    <s v="-"/>
    <s v="عدم اتصال صحیح پایه BTS"/>
    <s v="ظاهرا قلع سرد می باشد"/>
    <s v="IC BTS"/>
    <s v="قلع سرد "/>
    <s v="ایراد در یکی از زون های کوره SMD"/>
    <n v="1"/>
    <s v="IK01843080"/>
    <s v="-"/>
    <s v="1403/09/20"/>
    <s v="کاظمی پور"/>
    <x v="3"/>
    <s v="کوره"/>
    <s v="-"/>
    <s v="بسته شده"/>
    <s v="-"/>
    <s v="-"/>
  </r>
  <r>
    <n v="1"/>
    <s v="-"/>
    <n v="206256"/>
    <s v="1403/09/25"/>
    <s v="1403/09"/>
    <x v="8"/>
    <x v="0"/>
    <s v="جلو آمپر"/>
    <s v="جلو آمپر دنا ST"/>
    <s v="ايراد عملكرد جلو آمپر عدم عملكرد كامل آمپر يك نمونه رويت شد."/>
    <s v="عدم عملكرد كامل "/>
    <s v="NOK"/>
    <s v="1403/09/20"/>
    <s v="-"/>
    <s v="-"/>
    <s v="-"/>
    <s v="-"/>
    <s v="کریستال معیوب"/>
    <s v="با مونتاژ بر روی محصول دیگر عملکرد نداشت"/>
    <s v="کریستال"/>
    <s v="قطعه معیوب"/>
    <s v="ایراد در مواد اولیه "/>
    <n v="1"/>
    <s v="IK00843780"/>
    <s v="RJAD1F12600343"/>
    <s v="1403/09/20"/>
    <s v="کاظمی پور"/>
    <x v="1"/>
    <s v="-"/>
    <s v="-"/>
    <s v="بسته شده"/>
    <s v="-"/>
    <s v="-"/>
  </r>
  <r>
    <n v="1"/>
    <s v="-"/>
    <n v="206315"/>
    <s v="1403/10/01"/>
    <s v="1403/10"/>
    <x v="9"/>
    <x v="0"/>
    <s v="NOD"/>
    <s v="NBCM TARA SAL"/>
    <s v="ايراد عملكرد NBCM (عدم عملكرد شيشه بالابر جلو راست  ) رويت شد ايراد به اطلاع نماينده سازنده رسانده شد."/>
    <s v="عدم عملكرد ادوات برقي خودرو "/>
    <s v="NOK"/>
    <s v="1403/09/20"/>
    <s v="-"/>
    <s v="-"/>
    <s v="-"/>
    <s v="-"/>
    <s v="استفاده از کانکتور40پین  یک سمت"/>
    <s v="قطعه مربوط به قطعات کلیم می باشد که توسط تعمیرات Okشده و به علت درج ایراد عملکردی بر روی کارت کلیم متوجه یکی بودن کانکتور نگردیده و ابا توجه به نیاز مبرم مشتری و فشار مدیریت قطعه تست عملکردی شده و به علت عدم تشخیص تستر کنترل نهایی قطعه OK شده و ارسال گردیده"/>
    <s v="محصول"/>
    <s v="ارسال قطعه کلیم به علت نامشخص بودن ایراد"/>
    <s v="عدم دقت اپراتور"/>
    <n v="1"/>
    <s v="IK01843080"/>
    <s v="-"/>
    <s v="-"/>
    <s v="-"/>
    <x v="4"/>
    <s v="-"/>
    <s v="نامشخص"/>
    <s v="بسته شده"/>
    <s v="-"/>
    <s v="-"/>
  </r>
  <r>
    <n v="1"/>
    <s v="-"/>
    <n v="206366"/>
    <s v="1403/09/27"/>
    <s v="1403/09"/>
    <x v="8"/>
    <x v="0"/>
    <s v="NOD"/>
    <s v="NBCM SOREN"/>
    <s v="مغايرت رنگ سوكت 15 خانه سياه رنگ با سفيد و بلعكس"/>
    <s v="کانکتور"/>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2"/>
    <s v="IK01750880"/>
    <s v="-"/>
    <s v="-"/>
    <s v="-"/>
    <x v="2"/>
    <s v="-"/>
    <s v="-"/>
    <s v="بسته شده"/>
    <s v="-"/>
    <s v="-"/>
  </r>
  <r>
    <n v="1"/>
    <s v="-"/>
    <n v="206388"/>
    <s v="1403/10/01"/>
    <s v="1403/10"/>
    <x v="9"/>
    <x v="0"/>
    <s v="جلو آمپر"/>
    <s v="جلو آمپر207 اتوماتیک85 گانه"/>
    <s v="ايراد عملكرد صفحه نمايشگر يك نمونه رويت گرديد."/>
    <s v="LCD"/>
    <s v="NOK"/>
    <s v="1403/09/20"/>
    <s v="-"/>
    <s v="-"/>
    <s v="-"/>
    <s v="-"/>
    <s v="قطعه LCD معیوب"/>
    <s v="-"/>
    <s v="LCD"/>
    <s v="قطعه معیوب"/>
    <s v="ایراد در مواد اولیه "/>
    <n v="1"/>
    <s v="IK01917980"/>
    <s v="-"/>
    <s v="1403/09/20"/>
    <s v="کاظمی پور"/>
    <x v="1"/>
    <s v="-"/>
    <s v="-"/>
    <s v="بسته شده"/>
    <s v="-"/>
    <s v="-"/>
  </r>
  <r>
    <n v="1"/>
    <s v="-"/>
    <n v="206397"/>
    <s v="1403/10/01"/>
    <s v="1403/10"/>
    <x v="9"/>
    <x v="0"/>
    <s v="کلید شیشه بالابر"/>
    <s v="کلید شیشه بالابر جلو چپ سورن"/>
    <s v="ايراد عدم عملكرد كليد شيشه بالابر. ايراد به روئيت نماينده ساپكو رسيد."/>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6268PB"/>
    <s v="-"/>
    <s v="-"/>
    <s v="-"/>
    <x v="2"/>
    <s v="-"/>
    <s v="-"/>
    <s v="بسته شده"/>
    <s v="-"/>
    <s v="-"/>
  </r>
  <r>
    <n v="1"/>
    <s v="-"/>
    <n v="206439"/>
    <s v="1403/10/01"/>
    <s v="1403/10"/>
    <x v="9"/>
    <x v="0"/>
    <s v="NOD"/>
    <s v="NBCM TARA SAL"/>
    <s v="ايراد عملكرد NBCM (عدم عملكرد قفل مركزي ) رويت شد ايراد به اطلاع نماينده سازنده رسانده شد."/>
    <s v="عدم عملكرد قفل مركزي/ریموت"/>
    <s v="NOK"/>
    <s v="1403/10/27"/>
    <s v="-"/>
    <s v="-"/>
    <s v="-"/>
    <s v="-"/>
    <s v="عدم اتصال پایه کانکتور 14 پین "/>
    <s v="خم شدن پین کانکتور و بیرون نیامدن پایه و عدم اتصال صحیح پین به علت فشار پنوماتیکی در زمان تست محصول Okشده"/>
    <s v="کانکتور 14 پین"/>
    <s v="کانکتور"/>
    <s v="ایراد در مواد اولیه "/>
    <n v="1"/>
    <s v="IK01843080"/>
    <s v="-"/>
    <s v="1403/10/27"/>
    <s v="کاظمی پور"/>
    <x v="1"/>
    <s v="-"/>
    <s v="-"/>
    <s v="بسته شده"/>
    <s v="-"/>
    <s v="-"/>
  </r>
  <r>
    <n v="1"/>
    <s v="-"/>
    <n v="206682"/>
    <s v="1403/10/05"/>
    <s v="1403/10"/>
    <x v="9"/>
    <x v="0"/>
    <s v="NOD"/>
    <s v="NBCM 207"/>
    <s v="ايراد عملكرد NBCM(عدم عملكرد چراغ عقب چپ) رويت شد و به اطلاع كارشناس سازنده مهندس يگانه رسانده شد."/>
    <s v="عدم عملكرد ادوات برقي خودرو "/>
    <s v="NOK"/>
    <s v="1403/10/27"/>
    <s v="-"/>
    <s v="-"/>
    <s v="-"/>
    <s v="-"/>
    <s v="عدم اتصال پد تغذیه BTS"/>
    <s v="در زمان دمونتاژ قطعه BTS قلع اضافه به علت  عدم قلع پذیر پد قطعه مشاهده گردید"/>
    <s v="IC BTS"/>
    <s v="قطعه معیوب"/>
    <s v="ایراد در مواد اولیه "/>
    <n v="1"/>
    <s v="IK01596980"/>
    <s v="-"/>
    <s v="1403/10/27"/>
    <s v="کاظمی پور"/>
    <x v="1"/>
    <s v="-"/>
    <s v="-"/>
    <s v="بسته شده"/>
    <s v="-"/>
    <s v="-"/>
  </r>
  <r>
    <n v="1"/>
    <s v="-"/>
    <n v="206683"/>
    <s v="1403/10/05"/>
    <s v="1403/10"/>
    <x v="9"/>
    <x v="0"/>
    <s v="NOD"/>
    <s v="NBCM 207"/>
    <s v="ايراد ناخوانا بودن ليبل رديابي قطعه NBCM رويت و ليبل تحويل نماينده سازنده گرديد."/>
    <s v="ایراد در لیبل"/>
    <s v="-"/>
    <s v="-"/>
    <s v="-"/>
    <s v="-"/>
    <s v="-"/>
    <s v="-"/>
    <s v="-"/>
    <s v="-"/>
    <s v="محصول"/>
    <s v="چاپ نامناسب لیبل"/>
    <s v="ایراد در ریبون پرینتر"/>
    <n v="30"/>
    <s v="IK01596980"/>
    <s v="-"/>
    <s v="-"/>
    <s v="-"/>
    <x v="3"/>
    <s v="پرینتر"/>
    <s v="-"/>
    <s v="بسته شده"/>
    <s v="-"/>
    <s v="-"/>
  </r>
  <r>
    <n v="1"/>
    <s v="-"/>
    <n v="206703"/>
    <s v="1403/10/05"/>
    <s v="1403/10"/>
    <x v="9"/>
    <x v="0"/>
    <s v="MFD"/>
    <s v="MFD RUNNA"/>
    <s v="پيرو مراجعه به سالن تكميلكاري 4 در حضور كيفيت سالن يك موردايراد عملكرد نادرست (سگمنت ناقص)  قطعه نمايشگر ديجيتالي (MFD)  رويت گرديد. قطعه از نظر ظاهري بررسي شد كه مغايرتي از نظر آسيب ديدگي رويت نگرديد و لذا با تعويض قطعه ايراددار با قطعه سالم ايراد مرتفع گرديد. كد رديابي قطعه: F1 271 0006"/>
    <s v="LCD"/>
    <s v="NOK"/>
    <s v="1403/10/27"/>
    <s v="-"/>
    <s v="-"/>
    <s v="-"/>
    <s v="-"/>
    <s v="-"/>
    <s v="-"/>
    <s v="LCD"/>
    <s v="قطعه معیوب"/>
    <s v="ایراد در مواد اولیه "/>
    <n v="1"/>
    <s v="IK00473280"/>
    <s v="-"/>
    <s v="1403/10/27"/>
    <s v="کاظمی پور"/>
    <x v="1"/>
    <s v="-"/>
    <s v="-"/>
    <s v="بسته شده"/>
    <s v="-"/>
    <s v="-"/>
  </r>
  <r>
    <n v="1"/>
    <s v="-"/>
    <n v="206768"/>
    <s v="1403/10/08"/>
    <s v="1403/10"/>
    <x v="9"/>
    <x v="0"/>
    <s v="NOD"/>
    <s v="NBCM SOREN"/>
    <s v="عدم امكان خوانش سريال رديابي نود  مالتي پلكس  داخل اطاق ، (ايراد پرتكرار) -(( تكرار هشدار 199849&amp;196759))"/>
    <s v="ایراد در لیبل"/>
    <s v="-"/>
    <s v="-"/>
    <s v="-"/>
    <s v="-"/>
    <s v="-"/>
    <s v="-"/>
    <s v="-"/>
    <s v="-"/>
    <s v="محصول"/>
    <s v="چاپ نامناسب لیبل"/>
    <s v="ایراد در ریبون پرینتر"/>
    <n v="5"/>
    <s v="IK01750880"/>
    <s v="-"/>
    <s v="-"/>
    <s v="-"/>
    <x v="3"/>
    <s v="پرینتر"/>
    <s v="-"/>
    <s v="بسته شده"/>
    <s v="-"/>
    <s v="-"/>
  </r>
  <r>
    <n v="1"/>
    <s v="-"/>
    <n v="206854"/>
    <s v="1403/10/06"/>
    <s v="1403/10"/>
    <x v="9"/>
    <x v="0"/>
    <s v="کلید شیشه بالابر"/>
    <s v="کلید شیشه بالابر عقب چپ سورن"/>
    <s v="وجود پليسه اضافه  بر روي لبه قاب دستگيره شيشه بالابر"/>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20"/>
    <s v="IK016270PB"/>
    <s v="-"/>
    <s v="-"/>
    <s v="-"/>
    <x v="2"/>
    <s v="-"/>
    <s v="-"/>
    <s v="بسته شده"/>
    <s v="-"/>
    <s v="-"/>
  </r>
  <r>
    <n v="1"/>
    <s v="-"/>
    <n v="206854"/>
    <s v="1403/10/06"/>
    <s v="1403/10"/>
    <x v="9"/>
    <x v="0"/>
    <s v="کلید شیشه بالابر"/>
    <s v="کلید شیشه بالابر عقب چپ سورن"/>
    <s v="وجود پليسه اضافه  بر روي لبه قاب دستگيره شيشه بالابر"/>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20"/>
    <s v="IK016270PB"/>
    <s v="-"/>
    <s v="-"/>
    <s v="-"/>
    <x v="2"/>
    <s v="-"/>
    <s v="-"/>
    <s v="بسته شده"/>
    <s v="-"/>
    <s v="-"/>
  </r>
  <r>
    <n v="1"/>
    <s v="-"/>
    <n v="207049"/>
    <s v="1403/10/10"/>
    <s v="1403/10"/>
    <x v="9"/>
    <x v="0"/>
    <s v="جلو آمپر"/>
    <s v="جلو آمپر207  معمولی85 گانه"/>
    <s v="ايراد عملكرد جلو آمپر با ايراد عملكرد نادرست  نگيني كليد فلاشر يك مورد رويت شد"/>
    <s v="عملکرد نگینی(لوگو)"/>
    <s v="NOK"/>
    <s v="1403/10/27"/>
    <s v="-"/>
    <s v="-"/>
    <s v="-"/>
    <s v="-"/>
    <s v="پس از دمونتاژ محصول شکستگی بر روی برد مشاهده گردید"/>
    <s v="شکستگی باعث قطعی مسیر کلید فلاشر گردیده است گير كردن PCB در مكانيزم آسانسوري magazine on loader_x000a_(احتمالا قطعه در زمان تست عملکرد داشته است)"/>
    <s v="PCB"/>
    <s v="قطعه شکسته"/>
    <s v="عملکرد نادرست سنسور مگزین لودر"/>
    <n v="1"/>
    <s v="IK01033680"/>
    <s v="-"/>
    <s v="1403/10/27"/>
    <s v="کاظمی پور"/>
    <x v="3"/>
    <s v="مگزین لودر"/>
    <s v="-"/>
    <s v="بسته شده"/>
    <s v="-"/>
    <s v="عکس"/>
  </r>
  <r>
    <n v="1"/>
    <s v="-"/>
    <n v="207369"/>
    <s v="1403/10/16"/>
    <s v="1403/10"/>
    <x v="9"/>
    <x v="0"/>
    <s v="MFD"/>
    <s v="MFD RUNNA"/>
    <s v="پيرو مراجعه به سالن تكميلكاري 4 در حضور كيفيت سالن و سرگروه شيفت مربوطه 1 مورد ايراد عدم عملكرد  قطعه نمايشگر ديجيتالي (MFD)  رويت گرديد. قطعه از نظر ظاهري بررسي شد كه مغايرتي از نظر آسيب ديدگي وجود نداشت و لذا با تعويض قطعه ايراددار با قطعه سالم ايراد مرتفع گرديد."/>
    <s v="LCD"/>
    <s v="-"/>
    <s v="-"/>
    <s v="-"/>
    <s v="-"/>
    <s v="-"/>
    <s v="-"/>
    <s v="-"/>
    <s v="قطعه شکسته(خازن SMD)"/>
    <s v="خازن"/>
    <s v="قطعه شکسته"/>
    <s v="سختی مونتاژ PCB در قاب"/>
    <n v="1"/>
    <s v="IK00473280"/>
    <s v="-"/>
    <s v="1403/11/17"/>
    <s v="کاظمی پور"/>
    <x v="1"/>
    <s v="-"/>
    <s v="-"/>
    <s v="بسته شده"/>
    <s v="اصلاح قالب قاب پلیمری"/>
    <s v="-"/>
  </r>
  <r>
    <n v="1"/>
    <s v="-"/>
    <n v="207404"/>
    <s v="1403/10/17"/>
    <s v="1403/10"/>
    <x v="9"/>
    <x v="0"/>
    <s v="جلو آمپر"/>
    <s v="جلو آمپر207  معمولی85 گانه"/>
    <s v="ايراد عملكرد نادرست جلو آمپر عقربه بنزين و دور موتور يك نمونه رويت شد"/>
    <s v="عقربه"/>
    <s v="NOK"/>
    <s v="1403/11/05"/>
    <s v="-"/>
    <s v="-"/>
    <s v="-"/>
    <s v="-"/>
    <s v="عدم عملکرد عقربه های بنزین ،دمای آب و دور موتور"/>
    <s v="تحویل مهندس مرزوقی"/>
    <s v="استپر موتور"/>
    <s v="قطعه معیوب"/>
    <s v="ایراد در مواد اولیه "/>
    <n v="1"/>
    <s v="IK01033680"/>
    <s v="-"/>
    <s v="1403/11/05"/>
    <s v="کاظمی پور"/>
    <x v="1"/>
    <s v="-"/>
    <s v="-"/>
    <s v="بسته شده"/>
    <s v="-"/>
    <s v="-"/>
  </r>
  <r>
    <n v="1"/>
    <s v="-"/>
    <n v="207407"/>
    <s v="1403/10/18"/>
    <s v="1403/10"/>
    <x v="9"/>
    <x v="0"/>
    <s v="NOD"/>
    <s v="NBCM SOREN"/>
    <s v="ايراد عدم عملكرد CBM و  روشن نشدن خودرو. مشاهده شده در سالن آناليز سايت مركزي."/>
    <s v=" روشن نشدن خودرو"/>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750880"/>
    <s v="-"/>
    <s v="-"/>
    <s v="-"/>
    <x v="2"/>
    <s v="-"/>
    <s v="-"/>
    <s v="بسته شده"/>
    <s v="-"/>
    <s v="-"/>
  </r>
  <r>
    <n v="1"/>
    <s v="-"/>
    <n v="207663"/>
    <s v="1403/10/20"/>
    <s v="1403/10"/>
    <x v="9"/>
    <x v="0"/>
    <s v="جلو آمپر"/>
    <s v="جلو آمپر تارا دستی"/>
    <s v="ايراد عملكرد جلو آمپر با ايراد عملكرد نادرست عقربه دور موتورو صداي اضافه يك مورد رويت شد"/>
    <s v=" صداي اضافه و قطع و وصل پشت آمپر"/>
    <s v="NOK"/>
    <s v="1403/11/05"/>
    <s v="-"/>
    <s v="-"/>
    <s v="-"/>
    <s v="-"/>
    <s v="گیر عقربه"/>
    <s v="محصول جهت بررسی تحویل مهندس غیاثوند گردید"/>
    <s v="استپر موتور"/>
    <s v="قطعه معیوب"/>
    <s v="ایراد در مواد اولیه "/>
    <n v="1"/>
    <s v="IK01288780"/>
    <s v="-"/>
    <s v="1403/11/05"/>
    <s v="کاظمی پور"/>
    <x v="1"/>
    <s v="-"/>
    <s v="-"/>
    <s v="بسته شده"/>
    <s v="-"/>
    <s v="-"/>
  </r>
  <r>
    <n v="1"/>
    <s v="-"/>
    <n v="207664"/>
    <s v="1403/10/20"/>
    <s v="1403/10"/>
    <x v="9"/>
    <x v="0"/>
    <s v="جلو آمپر"/>
    <s v="جلو آمپر تارا اتوماتیک"/>
    <s v="ايراد عملكرد جلو آمپر با ايراد عملكرد نادرست عقربه دور موتور يك مورد رويت شد"/>
    <s v="عقربه"/>
    <s v="NOK"/>
    <s v="1403/11/07"/>
    <s v="-"/>
    <s v="-"/>
    <s v="-"/>
    <s v="-"/>
    <s v="گیر عقربه"/>
    <s v="محصول جهت بررسی تحویل مهندس اصغرنیا گردید"/>
    <s v="استپر موتور"/>
    <s v="قطعه معیوب"/>
    <s v="ایراد در مواد اولیه "/>
    <n v="1"/>
    <s v="IK01348180"/>
    <s v="-"/>
    <s v="1403/11/07"/>
    <s v="کاظمی پور"/>
    <x v="1"/>
    <s v="-"/>
    <s v="-"/>
    <s v="بسته شده"/>
    <s v="-"/>
    <s v="-"/>
  </r>
  <r>
    <n v="1"/>
    <s v="-"/>
    <n v="207945"/>
    <s v="1403/10/26"/>
    <s v="1403/10"/>
    <x v="9"/>
    <x v="0"/>
    <s v="جلو آمپر"/>
    <s v="جلو آمپر207 اتوماتیک85 گانه"/>
    <s v="ايراد عملكرد مجموعه جلو آمپر حين استارت قطع و وصلي پشت آمپر در آديت رويت و به اطلاع مهندس لهراسبي رسانده شد"/>
    <s v=" صداي اضافه و قطع و وصل پشت آمپر"/>
    <s v="OK"/>
    <s v="1403/11/17"/>
    <s v="-"/>
    <s v="-"/>
    <s v="-"/>
    <s v="-"/>
    <s v="تحویل مهندس مرزوقی جهت تست خودرویی"/>
    <s v="-"/>
    <s v="-"/>
    <s v="نامشخص"/>
    <s v="نامشخص"/>
    <n v="1"/>
    <s v="IK01917980"/>
    <s v="-"/>
    <s v="1403/11/17"/>
    <s v="کاظمی پور"/>
    <x v="2"/>
    <s v="-"/>
    <s v="-"/>
    <s v="بسته شده"/>
    <s v="-"/>
    <s v="-"/>
  </r>
  <r>
    <n v="1"/>
    <s v="-"/>
    <n v="207991"/>
    <s v="1403/10/26"/>
    <s v="1403/10"/>
    <x v="9"/>
    <x v="0"/>
    <s v="NOD"/>
    <s v="SBM 207"/>
    <s v="ايراد تكرار بودن ليبل  NBCM (سه مرتبه برروي سه قطعه ) رويت شد ليبل تحويل نماينده شد"/>
    <s v="ایراد در لیبل"/>
    <s v="-"/>
    <s v="-"/>
    <s v="-"/>
    <s v="-"/>
    <s v="-"/>
    <s v="-"/>
    <s v="-"/>
    <s v="-"/>
    <s v="محصول"/>
    <s v="چاپ دستی لیبل"/>
    <s v="درج اشتباه شماره فنی در لیبل چاپ شده "/>
    <n v="3"/>
    <s v="YG20240320"/>
    <s v="-"/>
    <s v="-"/>
    <s v="-"/>
    <x v="0"/>
    <s v="-"/>
    <s v="-"/>
    <s v="بسته شده"/>
    <s v="-"/>
    <s v="-"/>
  </r>
  <r>
    <n v="1"/>
    <s v="-"/>
    <n v="208016"/>
    <s v="1403/10/26"/>
    <s v="1403/10"/>
    <x v="9"/>
    <x v="0"/>
    <s v="جلو آمپر"/>
    <s v="جلو آمپر دنا اتوماتیک"/>
    <s v="ايراد عملكرد جلو آمپر با ايراد( عدم عملكرد نگيني و نشانگرهاي پشت آمپر) يك مورد رويت شد"/>
    <s v="عملکرد نگینی(لوگو)"/>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0929380"/>
    <s v="-"/>
    <s v="-"/>
    <s v="-"/>
    <x v="2"/>
    <s v="-"/>
    <s v="-"/>
    <s v="بسته شده"/>
    <s v="-"/>
    <s v="-"/>
  </r>
  <r>
    <n v="1"/>
    <s v="-"/>
    <n v="208024"/>
    <s v="1403/10/26"/>
    <s v="1403/10"/>
    <x v="9"/>
    <x v="0"/>
    <s v="NOD"/>
    <s v="NBCM DENA"/>
    <s v="ايراد عملكرد  NBCM (عدم عملكرد بالابر عقب چپ ) رويت شد"/>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403980"/>
    <s v="-"/>
    <s v="-"/>
    <s v="-"/>
    <x v="2"/>
    <s v="-"/>
    <s v="-"/>
    <s v="بسته شده"/>
    <s v="-"/>
    <s v="-"/>
  </r>
  <r>
    <n v="1"/>
    <s v="-"/>
    <n v="208095"/>
    <s v="1403/10/29"/>
    <s v="1403/10"/>
    <x v="9"/>
    <x v="0"/>
    <s v="جلو آمپر"/>
    <s v="جلو آمپر تارا دستی"/>
    <s v="ايراد عملكرد جلو آمپر با ايراد (كيلومتربالا) مهندس عابد رسانده شد"/>
    <s v="عقربه"/>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288780"/>
    <s v="-"/>
    <s v="-"/>
    <s v="-"/>
    <x v="2"/>
    <s v="-"/>
    <s v="-"/>
    <s v="بسته شده"/>
    <s v="-"/>
    <s v="-"/>
  </r>
  <r>
    <n v="1"/>
    <s v="-"/>
    <n v="208096"/>
    <s v="1403/10/29"/>
    <s v="1403/10"/>
    <x v="9"/>
    <x v="0"/>
    <s v="جلو آمپر"/>
    <s v="جلو آمپرSOREN TC 85 گانه"/>
    <s v="ايراد عدم عملكرد نمايشگرديجتالي"/>
    <s v="LCD"/>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2"/>
    <s v="IK01033880"/>
    <s v="-"/>
    <s v="-"/>
    <s v="-"/>
    <x v="2"/>
    <s v="-"/>
    <s v="-"/>
    <s v="بسته شده"/>
    <s v="-"/>
    <s v="-"/>
  </r>
  <r>
    <n v="1"/>
    <s v="-"/>
    <n v="208289"/>
    <s v="1403/11/01"/>
    <s v="1403/11"/>
    <x v="10"/>
    <x v="0"/>
    <s v="جلو آمپر"/>
    <s v="جلو آمپر تارا اتوماتیک"/>
    <s v="ايراد عملكردنادرست نشتي نور نگيني هشدار و عقربه كيلومتر شمار برروي 60 ميباشد"/>
    <s v="عقربه"/>
    <s v="NOK"/>
    <s v="1403/11/17"/>
    <s v="-"/>
    <s v="-"/>
    <s v="-"/>
    <s v="-"/>
    <s v="گیر عقربه مشاهده گردید قطعه تحویل مهندس اصغرنیا"/>
    <s v="نشتی نور موردی مشاهده نگردید"/>
    <s v="استپر موتور"/>
    <s v="قطعه معیوب"/>
    <s v="ایراد در مواد اولیه "/>
    <n v="1"/>
    <s v="IK01348180"/>
    <s v="-"/>
    <s v="-"/>
    <s v="-"/>
    <x v="1"/>
    <s v="-"/>
    <s v="-"/>
    <s v="بسته شده"/>
    <s v="-"/>
    <s v="-"/>
  </r>
  <r>
    <n v="1"/>
    <s v="-"/>
    <n v="208290"/>
    <s v="1403/11/01"/>
    <s v="1403/11"/>
    <x v="10"/>
    <x v="0"/>
    <s v="NOD"/>
    <s v="SBM 207"/>
    <s v="عملكرد سيستم HASدر حالت دنده عقب به رويت مهندس عابد رسانده شد"/>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00"/>
    <s v="YG20240320"/>
    <s v="-"/>
    <s v="-"/>
    <s v="-"/>
    <x v="2"/>
    <s v="-"/>
    <s v="-"/>
    <s v="بسته شده"/>
    <s v="-"/>
    <s v="-"/>
  </r>
  <r>
    <n v="1"/>
    <s v="-"/>
    <n v="208338"/>
    <s v="1403/11/01"/>
    <s v="1403/11"/>
    <x v="10"/>
    <x v="0"/>
    <s v="جلو آمپر"/>
    <s v="جلو آمپر تارا اتوماتیک"/>
    <s v="طي بررسي بعمل آمده ايراد عملكرد بك لايت سرعت سنج رويت شد"/>
    <s v="عدم عملكرد ادوات برقي خودرو "/>
    <s v="NOK"/>
    <s v="1403/11/17"/>
    <s v="-"/>
    <s v="-"/>
    <s v="-"/>
    <s v="-"/>
    <s v=" LED بر اثر ضربه شکسته(بعد از بسته بندی)"/>
    <s v="-"/>
    <s v="LED"/>
    <s v="جایجایی"/>
    <s v="نامشخص"/>
    <n v="1"/>
    <s v="IK01348180"/>
    <s v="-"/>
    <s v="1403/11/17"/>
    <s v="کاظمی پور"/>
    <x v="0"/>
    <s v="-"/>
    <s v="-"/>
    <s v="بسته شده"/>
    <s v="-"/>
    <s v="-"/>
  </r>
  <r>
    <n v="1"/>
    <s v="-"/>
    <n v="208365"/>
    <s v="1403/11/01"/>
    <s v="1403/11"/>
    <x v="10"/>
    <x v="0"/>
    <s v="جلو آمپر"/>
    <s v="جلو آمپر دنا ST"/>
    <s v="ايراد عملكرد جلو آمپر با ايراد(عملكرد نادرست صفحه نمايشگر سگمنت ناقص)  رويت شد"/>
    <s v="LCD"/>
    <s v="OK"/>
    <s v="1403/11/17"/>
    <s v="-"/>
    <s v="-"/>
    <s v="-"/>
    <s v="-"/>
    <s v="-"/>
    <s v="-"/>
    <s v="LCD"/>
    <s v="قطعه معیوب"/>
    <s v="ایراد در مواد اولیه "/>
    <n v="1"/>
    <s v="IK00843780"/>
    <s v="-"/>
    <s v="1403/11/17"/>
    <s v="کاظمی پور"/>
    <x v="1"/>
    <s v="-"/>
    <s v="-"/>
    <s v="بسته شده"/>
    <s v="-"/>
    <s v="-"/>
  </r>
  <r>
    <n v="1"/>
    <s v="-"/>
    <n v="208367"/>
    <s v="1403/11/01"/>
    <s v="1403/11"/>
    <x v="10"/>
    <x v="0"/>
    <s v="NOD"/>
    <s v="NBCM DENA"/>
    <s v="ايراد عملكرد  NBCM (عدم عملكرد آلارم دزدگير ) رويت شد"/>
    <s v="عدم اعلام  اخطار  هشدار(بازر)"/>
    <s v="-"/>
    <s v="-"/>
    <s v="-"/>
    <s v="-"/>
    <s v="-"/>
    <s v="-"/>
    <s v="ا توجه به LOG برداري انجام شده ايراد مربوط به PEPS مي باشد كه مقرر شد واحد NPD ايراد را به سازنده PEPS اعلام نمايند"/>
    <s v="-"/>
    <s v="-"/>
    <s v="عدم دریافت قطعه"/>
    <s v="ایراد مورد تایید نیست"/>
    <n v="20"/>
    <s v="IK01403980"/>
    <s v="-"/>
    <s v="1403/11/17"/>
    <s v="کاظمی پور"/>
    <x v="2"/>
    <s v="-"/>
    <s v="-"/>
    <s v="بسته شده"/>
    <s v="-"/>
    <s v="-"/>
  </r>
  <r>
    <n v="1"/>
    <s v="-"/>
    <n v="208368"/>
    <s v="1403/11/01"/>
    <s v="1403/11"/>
    <x v="10"/>
    <x v="0"/>
    <s v="MFD"/>
    <s v="MFD RUNNA"/>
    <s v="پيرو مراجعه به سالن مونتاژ 4 در حضور كيفيت سالن و سرگروه شيفت مربوطه، 1 مورد  ايراد  عملكرد نادرست  قطعه نمايشگر ديجيتاليMFD (روشن نشدن كمپرسور كولر)  رويت گرديد. قطعه از نظر ظاهري جهت اطمينان از عدم آسيب ديدگي يا ضرب خوردگي بررسي شد كه مغايرتي وجود نداشت و لذا با تعويض قطعه ايراددار با قطعه سالم ايراد مرتفع گرديد.  تاريخ توليد قطعه: 1403/09/12 با ليبل ليبل gf5"/>
    <s v="کمپرسور کولر"/>
    <s v="-"/>
    <s v="-"/>
    <s v="-"/>
    <s v="-"/>
    <s v="-"/>
    <s v="-"/>
    <s v="-"/>
    <s v="قطعه شکسته(خازن SMD)"/>
    <s v="خازن"/>
    <s v="قطعه شکسته"/>
    <s v="سختی مونتاژ PCB"/>
    <n v="1"/>
    <s v="IK00473280"/>
    <s v="-"/>
    <s v="-"/>
    <s v="-"/>
    <x v="0"/>
    <s v="-"/>
    <s v="-"/>
    <s v="بسته شده"/>
    <s v="-"/>
    <s v="-"/>
  </r>
  <r>
    <n v="1"/>
    <s v="-"/>
    <n v="208576"/>
    <s v="1403/11/06"/>
    <s v="1403/11"/>
    <x v="10"/>
    <x v="0"/>
    <s v="NOD"/>
    <s v="NBCM TARA SAL"/>
    <s v="طي بررسي بعمل آمده ايراد عملكرد چراغ جلو راست نور پايين يك نمونه رويت شد"/>
    <s v="عدم عملكرد ادوات برقي خودرو "/>
    <s v="NOK"/>
    <s v="1403/11/16"/>
    <s v="-"/>
    <s v="-"/>
    <s v="-"/>
    <s v="-"/>
    <s v="پس از بررسی در واحد تعمیرات و تست با اهم متر مشخص گردید یکی از پایه های کانکتور 14 پین شل بوده و پس از بررسی دقیق مشخص گردید که پایه از وسط جدا شده و اتصال ندارد "/>
    <s v="احتمالا ریشه ایراد به کیفیت پین کانکتور برمیگردد."/>
    <s v="کانکتور 14 پین"/>
    <s v="کانکتور"/>
    <s v="ایراد در مواد اولیه "/>
    <n v="1"/>
    <s v="IK01843080"/>
    <s v="RU8T1F13073111"/>
    <s v="1403/11/16"/>
    <s v="کاظمی پور"/>
    <x v="1"/>
    <s v="-"/>
    <s v="-"/>
    <s v="بسته شده"/>
    <s v="-"/>
    <s v="-"/>
  </r>
  <r>
    <n v="1"/>
    <s v="-"/>
    <n v="208768"/>
    <s v="1403/11/08"/>
    <s v="1403/11"/>
    <x v="10"/>
    <x v="0"/>
    <s v="جلو آمپر"/>
    <s v="جلو آمپرSOREN TC 85 گانه"/>
    <s v="ايراد عدم جذب پشت امپر كه طبق بررسي هاي انجام گرفته ايراد فقط در سورس سازه پويش رويت مي گردد به طوريكه در پشت امپر كروز ايراد عدم جذب مشاهده نمي شود"/>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0"/>
    <s v="IK01033880"/>
    <s v="-"/>
    <s v="-"/>
    <s v="-"/>
    <x v="2"/>
    <s v="-"/>
    <s v="-"/>
    <s v="بسته شده"/>
    <s v="-"/>
    <s v="-"/>
  </r>
  <r>
    <n v="1"/>
    <s v="-"/>
    <n v="209135"/>
    <s v="1403/11/14"/>
    <s v="1403/11"/>
    <x v="10"/>
    <x v="0"/>
    <s v="جلو آمپر"/>
    <s v="جلو آمپر تارا اتوماتیک"/>
    <s v="ايراد صداي اضافه درهنگام سويئچ باز يك مورد رويت وكليم گرديد."/>
    <s v=" صداي اضافه و قطع و وصل پشت آمپر"/>
    <s v="OK"/>
    <s v="1403/11/28"/>
    <s v="-"/>
    <s v="-"/>
    <s v="-"/>
    <s v="-"/>
    <s v="گير مكانيكي استپرموتور"/>
    <s v="نقص قالب گيري چرخ دنده استپرموتور در فرايند توليد تامين كننده به علت ماهيت تصادفي ايراد قطعه در تست EOL تشخيص داده نشد"/>
    <s v="استپر موتور"/>
    <s v="قطعه معیوب"/>
    <s v="ایراد در مواد اولیه "/>
    <n v="1"/>
    <s v="IK01348180"/>
    <s v="-"/>
    <s v="1403/11/28"/>
    <s v="کاظمی پور"/>
    <x v="1"/>
    <s v="-"/>
    <s v="-"/>
    <s v="بسته شده"/>
    <s v="-"/>
    <s v="-"/>
  </r>
  <r>
    <n v="1"/>
    <s v="-"/>
    <n v="209201"/>
    <s v="1403/11/15"/>
    <s v="1403/11"/>
    <x v="10"/>
    <x v="0"/>
    <s v="NOD"/>
    <s v="NBCM TARA SAL"/>
    <s v="ايراد عملكرد  NBCM ( عدم عملكرد ريموت  ) رويت شد"/>
    <s v="عدم عملكرد قفل مركزي/ریموت"/>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843080"/>
    <s v="-"/>
    <s v="-"/>
    <s v="-"/>
    <x v="2"/>
    <s v="-"/>
    <s v="-"/>
    <s v="بسته شده"/>
    <s v="-"/>
    <s v="-"/>
  </r>
  <r>
    <n v="1"/>
    <s v="-"/>
    <n v="209500"/>
    <s v="1403/11/23"/>
    <s v="1403/11"/>
    <x v="10"/>
    <x v="0"/>
    <s v="جلو آمپر"/>
    <s v="جلو آمپر207  معمولی85 گانه"/>
    <s v="ايراد عملكرد جلو آمپر با ايراد هنگام ترمز زدن قطعي رويت شد"/>
    <s v=" صداي اضافه و قطع و وصل پشت آمپر"/>
    <s v="OK"/>
    <s v="1403/11/28"/>
    <s v="-"/>
    <s v="-"/>
    <s v="-"/>
    <s v="-"/>
    <s v="-"/>
    <s v="کمبود قلع کریستال"/>
    <s v="کریستال"/>
    <s v="کمبود قلع "/>
    <s v="مسدود بودن بخشی از سوراخ استنسیل و کامل نشدن مرحله چاپ قلع"/>
    <n v="1"/>
    <s v="IK01033680"/>
    <s v="RJA32F12530526"/>
    <s v="1403/09/20"/>
    <s v="کاظمی پور"/>
    <x v="3"/>
    <s v="SCREEN PRINTER"/>
    <s v="-"/>
    <s v="بسته شده"/>
    <s v="-"/>
    <s v="-"/>
  </r>
  <r>
    <n v="1"/>
    <s v="-"/>
    <n v="209603"/>
    <s v="1403/11/27"/>
    <s v="1403/11"/>
    <x v="10"/>
    <x v="0"/>
    <s v="جلو آمپر"/>
    <s v="جلو آمپر دنا اتوماتیک"/>
    <s v="ايرادعملكردي آمپر(عدم عملكرد صفحه نمايشگر )يك نمونه رويت شد"/>
    <s v="LCD"/>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0929380"/>
    <s v="-"/>
    <s v="-"/>
    <s v="-"/>
    <x v="2"/>
    <s v="-"/>
    <s v="-"/>
    <s v="بسته شده"/>
    <s v="-"/>
    <s v="-"/>
  </r>
  <r>
    <n v="1"/>
    <s v="-"/>
    <n v="209659"/>
    <s v="1403/11/27"/>
    <s v="1403/11"/>
    <x v="10"/>
    <x v="0"/>
    <s v="جلو آمپر"/>
    <s v="جلو آمپر تارا اتوماتیک"/>
    <s v="ايرادعملكردي آمپر(اتصالي )سويچ خودرو با قطع  و وصل كردن جلوآمپريك نمونه رويت شد"/>
    <s v=" صداي اضافه و قطع و وصل پشت آمپر"/>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348180"/>
    <s v="-"/>
    <s v="-"/>
    <s v="-"/>
    <x v="2"/>
    <s v="-"/>
    <s v="-"/>
    <s v="بسته شده"/>
    <s v="-"/>
    <s v="-"/>
  </r>
  <r>
    <n v="1"/>
    <s v="-"/>
    <n v="209660"/>
    <s v="1403/11/27"/>
    <s v="1403/11"/>
    <x v="10"/>
    <x v="0"/>
    <s v="جلو آمپر"/>
    <s v="جلو آمپر تارا اتوماتیک"/>
    <s v="ايرادعملكردي آمپر(قطعي پشت آمپر هنگام استارت )يك نمونه رويت شد"/>
    <s v=" صداي اضافه و قطع و وصل پشت آمپر"/>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348180"/>
    <s v="-"/>
    <s v="-"/>
    <s v="-"/>
    <x v="2"/>
    <s v="-"/>
    <s v="-"/>
    <s v="بسته شده"/>
    <s v="-"/>
    <s v="-"/>
  </r>
  <r>
    <n v="1"/>
    <s v="-"/>
    <n v="209749"/>
    <s v="1403/11/27"/>
    <s v="1403/11"/>
    <x v="10"/>
    <x v="0"/>
    <s v="جلو آمپر"/>
    <s v="جلو آمپر207  معمولی85 گانه"/>
    <s v="ايرادعملكردي آمپر(آلارم راهنما و چراغها قطع)يك نمونه رويت شد"/>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033680"/>
    <s v="-"/>
    <s v="-"/>
    <s v="-"/>
    <x v="2"/>
    <s v="-"/>
    <s v="-"/>
    <s v="بسته شده"/>
    <s v="-"/>
    <s v="-"/>
  </r>
  <r>
    <n v="1"/>
    <s v="-"/>
    <n v="209802"/>
    <s v="1403/11/29"/>
    <s v="1403/11"/>
    <x v="10"/>
    <x v="0"/>
    <s v="کلید شیشه بالابر"/>
    <s v="کلید شیشه بالابر عقب چپ سورن"/>
    <s v="ايراد پليسه گيري نا مناسب و موج دار بودن بدنه قاب كليد شيشه بالابر ****طرقي"/>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3"/>
    <s v="IK016270PB"/>
    <s v="-"/>
    <s v="-"/>
    <s v="-"/>
    <x v="2"/>
    <s v="-"/>
    <s v="-"/>
    <s v="بسته شده"/>
    <s v="-"/>
    <s v="-"/>
  </r>
  <r>
    <n v="1"/>
    <s v="-"/>
    <n v="209936"/>
    <s v="1403/12/01"/>
    <s v="1403/12"/>
    <x v="11"/>
    <x v="0"/>
    <s v="جلو آمپر"/>
    <s v="جلو آمپرSOREN TC 85 گانه"/>
    <s v="ايراد خرابي نمايشگر جلو آمپر. ايراد به روئيت نماينده ساپكو رسيد."/>
    <s v="LCD"/>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033880"/>
    <s v="-"/>
    <s v="-"/>
    <s v="-"/>
    <x v="2"/>
    <s v="-"/>
    <s v="-"/>
    <s v="بسته شده"/>
    <s v="-"/>
    <s v="-"/>
  </r>
  <r>
    <n v="1"/>
    <s v="-"/>
    <n v="209988"/>
    <s v="1403/12/02"/>
    <s v="1403/12"/>
    <x v="11"/>
    <x v="0"/>
    <s v="جلو آمپر"/>
    <s v="جلو آمپر207 اتوماتیک85 گانه"/>
    <s v="ايراد ظاهري آمپر(وجود آشغال در آمپر دور موتور )يك نمونه رويت شد تكرار ايراد وشكست گارانتي"/>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917980"/>
    <s v="-"/>
    <s v="-"/>
    <s v="-"/>
    <x v="2"/>
    <s v="-"/>
    <s v="-"/>
    <s v="بسته شده"/>
    <s v="-"/>
    <s v="-"/>
  </r>
  <r>
    <n v="1"/>
    <s v="-"/>
    <n v="210103"/>
    <s v="1403/12/05"/>
    <s v="1403/12"/>
    <x v="11"/>
    <x v="0"/>
    <s v="کلید شیشه بالابر"/>
    <s v="کلید شیشه بالابر جلو چپ سورن"/>
    <s v="ايراد عدم عملكرد تغيير جهت آيينه جانبي به دليل معيوب بودن كليد مجموعه دستگيره درب جلو چپ."/>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6268PB"/>
    <s v="-"/>
    <s v="-"/>
    <s v="-"/>
    <x v="2"/>
    <s v="-"/>
    <s v="-"/>
    <s v="بسته شده"/>
    <s v="-"/>
    <s v="-"/>
  </r>
  <r>
    <n v="1"/>
    <s v="-"/>
    <n v="210276"/>
    <s v="1403/12/08"/>
    <s v="1403/12"/>
    <x v="11"/>
    <x v="0"/>
    <s v="جلو آمپر"/>
    <s v="جلو آمپر تارا دستی"/>
    <s v="ايراد عملكردي آمپر(نشتي نور نگيني چراغ باطري )يك نمونه رويت شد"/>
    <s v="عملکرد نگینی(لوگو)"/>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288780"/>
    <s v="-"/>
    <s v="-"/>
    <s v="-"/>
    <x v="2"/>
    <s v="-"/>
    <s v="-"/>
    <s v="بسته شده"/>
    <s v="-"/>
    <s v="-"/>
  </r>
  <r>
    <n v="1"/>
    <s v="-"/>
    <n v="210392"/>
    <s v="1403/12/11"/>
    <s v="1403/12"/>
    <x v="11"/>
    <x v="0"/>
    <s v="NOD"/>
    <s v="NBCM TARA SAL"/>
    <s v="ايراد عملكردي  nbcm (يكسره روشن ماندن چراغ دنده دعقب درحالت سوئيچ باز) رويت شد"/>
    <s v="عملکرد یکسره ادوات برقی"/>
    <s v="OK"/>
    <s v="1403/12/21"/>
    <s v="-"/>
    <s v="-"/>
    <s v="-"/>
    <s v="-"/>
    <s v="با توجه به مونتاژ قطعه بر روی خودرو ، تغییر وضعییت دنده در حالت های مختلف P,N,D,R در صفحه نمایش جلوآمپر مشاهده نمی شود که با تغییر در آیتم Auto Gearbox از حالت Not available به حالت available ایراد برطرف و  وضعییت دنده در حالت های مختلف در صفحه نمایش جلوآمپر قابل مشاهده می باشد"/>
    <s v="تنظیمات نود بر روی تارا دستی بوده ولی بر روی تارا اتومات بسته شده و به علت دستی بودن گیربکس ایراد ایجاد گردیده"/>
    <s v="محصول"/>
    <s v="تنظیمات اشتباه در خط مشتری"/>
    <s v="تنظیمات اشتباه در خط مشتری"/>
    <n v="1"/>
    <s v="IK01843080"/>
    <s v="-"/>
    <s v="1403/12/21"/>
    <s v="کاظمی پور"/>
    <x v="0"/>
    <s v="-"/>
    <s v="-"/>
    <s v="بسته شده"/>
    <s v="-"/>
    <s v="-"/>
  </r>
  <r>
    <n v="1"/>
    <s v="-"/>
    <n v="210416"/>
    <s v="1403/12/11"/>
    <s v="1403/12"/>
    <x v="11"/>
    <x v="0"/>
    <s v="جلو آمپر"/>
    <s v="جلو آمپر207  معمولی85 گانه"/>
    <s v="ايراد عملكردي آمپر(عقربه بنزين عملكرد نادرست )يك نمونه رويت شد"/>
    <s v="عقربه"/>
    <s v="NOK"/>
    <s v="1403/12/21"/>
    <s v="-"/>
    <s v="-"/>
    <s v="-"/>
    <s v="-"/>
    <s v="با کالیبره مجدد ایراد برطرف شد "/>
    <s v="-"/>
    <s v="محصول"/>
    <s v="موقعیت نادرست"/>
    <s v="کالیبره اشتباه"/>
    <n v="1"/>
    <s v="IK01033680"/>
    <s v="-"/>
    <s v="1403/12/21"/>
    <s v="کاظمی پور"/>
    <x v="2"/>
    <s v="-"/>
    <s v="فتحی"/>
    <s v="بسته شده"/>
    <s v="-"/>
    <s v="-"/>
  </r>
  <r>
    <n v="1"/>
    <s v="-"/>
    <n v="210564"/>
    <s v="1403/12/13"/>
    <s v="1403/12"/>
    <x v="11"/>
    <x v="0"/>
    <s v="جلو آمپر"/>
    <s v="جلو آمپر207 اتوماتیک85 گانه"/>
    <s v="ايراد عملكردي آمپر(روشن نشدن نگيني نور بالا و نگيني ترمزدستي  )يك نمونه رويت شد"/>
    <s v="عملکرد نگینی(لوگو)"/>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917980"/>
    <s v="-"/>
    <s v="-"/>
    <s v="-"/>
    <x v="2"/>
    <s v="-"/>
    <s v="-"/>
    <s v="بسته شده"/>
    <s v="-"/>
    <s v="-"/>
  </r>
  <r>
    <n v="1"/>
    <s v="-"/>
    <n v="210635"/>
    <s v="1403/12/16"/>
    <s v="1403/12"/>
    <x v="11"/>
    <x v="0"/>
    <s v="NOD"/>
    <s v="NBCM 207"/>
    <s v="ايراد عملكردي  Nbcm ( برف پاكن جلو يكسره درحالت سوئيچ باز ) رويت شد"/>
    <s v="عملكرد نادرست  برف پاک کن"/>
    <s v="NOK"/>
    <s v="1403/12/21"/>
    <s v="-"/>
    <s v="-"/>
    <s v="-"/>
    <s v="-"/>
    <s v="فلکس زیر Icمیکرو"/>
    <s v="فلکس زیر Icمیکرو اتصالی اهمی"/>
    <s v="IC میکرو"/>
    <s v="اتصالی"/>
    <s v="ایراد نازل پاشش قلکس"/>
    <n v="1"/>
    <s v="IK01596980"/>
    <s v="-"/>
    <s v="-"/>
    <s v="-"/>
    <x v="3"/>
    <s v="وان قلع"/>
    <s v="-"/>
    <s v="بسته شده"/>
    <s v="-"/>
    <s v="-"/>
  </r>
  <r>
    <n v="1"/>
    <s v="-"/>
    <n v="210637"/>
    <s v="1403/12/14"/>
    <s v="1403/12"/>
    <x v="11"/>
    <x v="0"/>
    <s v="NOD"/>
    <s v="NBCM 207"/>
    <s v="ايراد عملكردي  Nbcm ( مه شكن عقب يكسره در حالت سوئيچ باز) رويت شد"/>
    <s v="عملکرد یکسره ادوات برقی"/>
    <s v="NOK"/>
    <s v="1403/12/21"/>
    <s v="-"/>
    <s v="-"/>
    <s v="-"/>
    <s v="-"/>
    <s v="پایه BTS بالا"/>
    <s v="-"/>
    <s v="IC BTS"/>
    <s v="پایه بالا"/>
    <s v="قطعه گذاری دستی"/>
    <n v="1"/>
    <s v="IK01596980"/>
    <s v="-"/>
    <s v="1403/12/21"/>
    <s v="کاظمی پور"/>
    <x v="0"/>
    <s v="-"/>
    <s v="-"/>
    <s v="بسته شده"/>
    <s v="-"/>
    <s v="-"/>
  </r>
  <r>
    <n v="1"/>
    <s v="-"/>
    <n v="210677"/>
    <s v="1403/12/14"/>
    <s v="1403/12"/>
    <x v="11"/>
    <x v="0"/>
    <s v="جلو آمپر"/>
    <s v="جلو آمپر207  معمولی85 گانه"/>
    <s v="ايراد عملكرد كامل آمپر يك نمونه رويت شد"/>
    <s v="عدم عملكرد كامل "/>
    <s v="OK"/>
    <s v="1403/12/21"/>
    <s v="-"/>
    <s v="-"/>
    <s v="-"/>
    <s v="-"/>
    <s v="باتوجه به بررسی کارگروه ایراد در مقدار خازن کریستال میباشد که از 22پیکو به 10 پیکو کاهش یافت"/>
    <s v="-"/>
    <s v="-"/>
    <s v="موردی مشاهده نشد"/>
    <s v="موردی مشاهده نشد"/>
    <n v="1"/>
    <s v="IK01033680"/>
    <s v="-"/>
    <s v="1403/12/21"/>
    <s v="کاظمی پور"/>
    <x v="2"/>
    <s v="-"/>
    <s v="-"/>
    <s v="بسته شده"/>
    <s v="مقدار خازن کریستال از 22پیکو به 10 پیکو کاهش یافت"/>
    <s v="-"/>
  </r>
  <r>
    <n v="1"/>
    <s v="-"/>
    <n v="210679"/>
    <s v="1403/12/16"/>
    <s v="1403/12"/>
    <x v="11"/>
    <x v="0"/>
    <s v="جلو آمپر"/>
    <s v="جلو آمپر207 اتوماتیک85 گانه"/>
    <s v="ايراد عملكردي آمپر(عملكرد متغير عدد دماسنج  )يك نمونه رويت شد"/>
    <s v="عدم عملكرد ادوات برقي خودرو "/>
    <s v="OK"/>
    <s v="1403/12/21"/>
    <s v="-"/>
    <s v="-"/>
    <s v="-"/>
    <s v="-"/>
    <s v="در خواست تست خودرو"/>
    <s v="قلع کاری دستی ترانزیستور"/>
    <s v="ترانزیستور"/>
    <s v="قلع کاری دستی "/>
    <s v="قلع کاری دستی ترانزیستور"/>
    <n v="1"/>
    <s v="IK01917980"/>
    <s v="-"/>
    <s v="1403/12/21"/>
    <s v="کاظمی پور"/>
    <x v="4"/>
    <s v="-"/>
    <s v="-"/>
    <s v="بسته شده"/>
    <s v="-"/>
    <s v="-"/>
  </r>
  <r>
    <n v="1"/>
    <s v="-"/>
    <n v="210750"/>
    <s v="1403/12/16"/>
    <s v="1403/12"/>
    <x v="11"/>
    <x v="0"/>
    <s v="NOD"/>
    <s v="NBCM TARA SAL"/>
    <s v="ايراد عملكردي  Nbcm (روشن ماندن نگيني باطري پشت آمپر) رويت شد"/>
    <s v="عملکرد نگینی(لوگو)"/>
    <s v="OK"/>
    <s v="1404/01/24"/>
    <s v="-"/>
    <s v="-"/>
    <s v="-"/>
    <s v="-"/>
    <s v="تستر EOL محصول OK ولی در ICT NOK"/>
    <s v="نداشتن قلع یکی از پایه های 40 پین"/>
    <s v="کانکتور 40 پین"/>
    <s v="نبود قلع "/>
    <s v="ستاپ اولیه وان"/>
    <n v="1"/>
    <s v="IK01843080"/>
    <s v="-"/>
    <s v="1404/01/24"/>
    <s v="کاظمی پور"/>
    <x v="3"/>
    <s v="وان قلع"/>
    <s v="نانکلی،قلی نژاد"/>
    <s v="بسته شده"/>
    <s v="-"/>
    <s v="-"/>
  </r>
  <r>
    <n v="1"/>
    <s v="-"/>
    <n v="210931"/>
    <s v="1403/12/20"/>
    <s v="1403/12"/>
    <x v="11"/>
    <x v="0"/>
    <s v="جلو آمپر"/>
    <s v="جلو آمپر تارا اتوماتیک"/>
    <s v="ايراد عملكردي آمپر(عملكرد نگيني نور بالا و عملكردآمپر با تاخير  )3 نمونه رويت شد"/>
    <s v="عملکرد نگینی(لوگو)"/>
    <s v="NOK"/>
    <s v="1404/01/24"/>
    <s v="-"/>
    <s v="-"/>
    <s v="-"/>
    <s v="-"/>
    <s v="دیود مسیر باطری سوخته"/>
    <s v="-"/>
    <s v="دیود"/>
    <s v="قطعه معیوب"/>
    <s v="نامشخص"/>
    <n v="3"/>
    <s v="IK01348180"/>
    <s v="-"/>
    <s v="1404/01/24"/>
    <s v="کاظمی پور"/>
    <x v="1"/>
    <s v="-"/>
    <s v="حسن پور"/>
    <s v="بسته شده"/>
    <s v="-"/>
    <s v="-"/>
  </r>
  <r>
    <n v="1"/>
    <n v="0"/>
    <n v="211052"/>
    <s v="1403/12/22"/>
    <s v="1403/12"/>
    <x v="11"/>
    <x v="0"/>
    <s v="NOD"/>
    <s v="NBCM TARA SAL"/>
    <s v="ايراد عملكرد صداي آلارام هشدار يك مورد رويت گرديد"/>
    <s v="عدم اعلام  اخطار  هشدار(بازر)"/>
    <s v="NOK"/>
    <s v="1404/01/24"/>
    <s v="-"/>
    <s v="-"/>
    <s v="-"/>
    <s v="-"/>
    <s v="بازر معیوب"/>
    <s v="-"/>
    <s v="بازر"/>
    <s v="قطعه معیوب"/>
    <s v="ایراد در مواد اولیه "/>
    <n v="1"/>
    <s v="IK01843080"/>
    <s v="-"/>
    <s v="1404/01/24"/>
    <s v="کاظمی پور"/>
    <x v="1"/>
    <s v="-"/>
    <s v="-"/>
    <s v="بسته شده"/>
    <s v="-"/>
    <s v="-"/>
  </r>
  <r>
    <n v="1"/>
    <s v="-"/>
    <n v="211066"/>
    <s v="1403/12/22"/>
    <s v="1403/12"/>
    <x v="11"/>
    <x v="0"/>
    <s v="جلو آمپر"/>
    <s v="جلو آمپر تارا اتوماتیک"/>
    <s v="ايراد عملكردي آمپر(نشتي نور نگيني راهنما چپ و راست )1 نمونه رويت شد"/>
    <s v="عملکرد نگینی(لوگو)"/>
    <s v="OK"/>
    <s v="1404/01/24"/>
    <s v="-"/>
    <s v="-"/>
    <s v="-"/>
    <s v="-"/>
    <s v="LED استفاده شده در محصول جلو آمپر تارا دونوع می باشد که یکی پرنورتر می باشد"/>
    <s v="-"/>
    <s v="-"/>
    <s v="موردی مشاهده نشد"/>
    <s v="موردی مشاهده نشد"/>
    <n v="1"/>
    <s v="IK01348180"/>
    <s v="-"/>
    <s v="1404/01/24"/>
    <s v="کاظمی پور"/>
    <x v="2"/>
    <s v="-"/>
    <s v="-"/>
    <s v="بسته شده"/>
    <s v="-"/>
    <s v="-"/>
  </r>
  <r>
    <n v="1"/>
    <s v="-"/>
    <n v="211086"/>
    <s v="1404/01/16"/>
    <s v="1404/01"/>
    <x v="0"/>
    <x v="1"/>
    <s v="جلو آمپر"/>
    <s v="جلو آمپرSOREN TC 85 گانه"/>
    <s v="ايراد عدم عملكرد نمايشگر ديجيتال جلو امپر."/>
    <s v="LCD"/>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2"/>
    <s v="IK01033880"/>
    <s v="-"/>
    <s v="-"/>
    <s v="-"/>
    <x v="2"/>
    <s v="-"/>
    <s v="-"/>
    <s v="بسته شده"/>
    <s v="-"/>
    <s v="-"/>
  </r>
  <r>
    <n v="1"/>
    <s v="-"/>
    <n v="211232"/>
    <s v="1403/12/25"/>
    <s v="1403/12"/>
    <x v="11"/>
    <x v="0"/>
    <s v="NOD"/>
    <s v="NBCM 207"/>
    <s v="ايراد عملكردي  Nbcm ( عدم تعريف ريموت قفل مركزي) رويت شد"/>
    <s v="عدم عملكرد قفل مركزي/ریموت"/>
    <s v="NOK"/>
    <s v="1404/01/24"/>
    <s v="-"/>
    <s v="-"/>
    <s v="-"/>
    <s v="-"/>
    <s v="قطعه RF ماژول معیوبCY76"/>
    <s v="-"/>
    <s v="ماژول "/>
    <s v="قطعه معیوب"/>
    <s v="ایراد در مواد اولیه "/>
    <n v="1"/>
    <s v="IK01596980"/>
    <s v="-"/>
    <s v="-"/>
    <s v="-"/>
    <x v="1"/>
    <s v="-"/>
    <s v="-"/>
    <s v="بسته شده"/>
    <s v="-"/>
    <s v="-"/>
  </r>
  <r>
    <n v="1"/>
    <s v="-"/>
    <n v="211340"/>
    <s v="1404/01/19"/>
    <s v="1404/01"/>
    <x v="0"/>
    <x v="1"/>
    <s v="جلو آمپر"/>
    <s v="جلو آمپر207 اتوماتیک85 گانه"/>
    <s v="ايراد عملكردي آمپر(عدم عملكرد كامل )يك نمونه رويت شد"/>
    <s v="عدم عملكرد كامل "/>
    <s v="NOK"/>
    <s v="1404/02/01"/>
    <s v="-"/>
    <s v="-"/>
    <s v="-"/>
    <s v="-"/>
    <s v="شیفت IC1059"/>
    <s v="-"/>
    <s v="IC1059"/>
    <s v="شیفت قطعه "/>
    <s v="قطعه گذاری SMD"/>
    <n v="1"/>
    <s v="IK01917980"/>
    <s v="-"/>
    <s v="1404/02/01"/>
    <s v="کاظمی پور"/>
    <x v="3"/>
    <s v="MONNTER.SAMSUNG"/>
    <s v="-"/>
    <s v="بسته شده"/>
    <s v="-"/>
    <s v="-"/>
  </r>
  <r>
    <n v="1"/>
    <s v="-"/>
    <n v="211469"/>
    <s v="1404/01/23"/>
    <s v="1404/01"/>
    <x v="0"/>
    <x v="1"/>
    <s v="جلو آمپر"/>
    <s v="جلو آمپر تارا دستی"/>
    <s v="ايراد عملكردي آمپر(قرار گيري نادرست عقربه دور موتور هنگام خاموش كردن خودرو  )يك نمونه رويت شد"/>
    <s v="عقربه"/>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288780"/>
    <s v="-"/>
    <s v="-"/>
    <s v="-"/>
    <x v="2"/>
    <s v="-"/>
    <s v="-"/>
    <s v="بسته شده"/>
    <s v="-"/>
    <s v="-"/>
  </r>
  <r>
    <n v="1"/>
    <s v="-"/>
    <n v="211517"/>
    <s v="1404/01/23"/>
    <s v="1404/01"/>
    <x v="0"/>
    <x v="1"/>
    <s v="جلو آمپر"/>
    <s v="جلو آمپر207  معمولی85 گانه"/>
    <s v="ايراد عملكردي آمپر(عدم عملكرد كولر)يك نمونه رويت شد"/>
    <s v="عدم عملكرد ادوات برقي خودرو "/>
    <s v="NOK"/>
    <s v="1404/02/01"/>
    <s v="-"/>
    <s v="-"/>
    <s v="-"/>
    <s v="-"/>
    <s v="کمبود قلع خازن ورودی رگلاتور"/>
    <s v="بصورت تصادفی اتصال برقرار می شد"/>
    <s v="خازن"/>
    <s v="کمبود قلع "/>
    <s v="استنسیل معیوب"/>
    <n v="1"/>
    <s v="IK01033680"/>
    <s v="-"/>
    <s v="1404/02/01"/>
    <s v="کاظمی پور"/>
    <x v="3"/>
    <s v="SCREEN PRINTER"/>
    <s v="-"/>
    <s v="بسته شده"/>
    <s v="افزايش حساسيت تشخيص كمبود قلع در تجهيز AOI بر روي ترانزيستور فانكشن دماي حيط"/>
    <s v="-"/>
  </r>
  <r>
    <n v="1"/>
    <s v="-"/>
    <n v="211539"/>
    <s v="1404/01/25"/>
    <s v="1404/01"/>
    <x v="0"/>
    <x v="1"/>
    <s v="کلید شیشه بالابر"/>
    <s v="کلید شیشه بالابر جلو چپ سورن"/>
    <s v="عدم عملكرد كليد اتوفد آيينه جمع كن مجموعه دستگيره مچي درب جلو چپ_ايراد به روئيت نماينده ساپكو رسيده است."/>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6268PB"/>
    <s v="-"/>
    <s v="-"/>
    <s v="-"/>
    <x v="2"/>
    <s v="-"/>
    <s v="-"/>
    <s v="بسته شده"/>
    <s v="-"/>
    <s v="-"/>
  </r>
  <r>
    <n v="1"/>
    <s v="-"/>
    <n v="211559"/>
    <s v="1404/01/23"/>
    <s v="1404/01"/>
    <x v="0"/>
    <x v="1"/>
    <s v="جلو آمپر"/>
    <s v="جلو آمپر تارا اتوماتیک"/>
    <s v="ايراد عملكردي آمپر(عدم عملكردكامل )يك نمونه رويت شد"/>
    <s v="عدم عملكرد كامل "/>
    <s v="OK"/>
    <s v="1404/02/01"/>
    <s v="-"/>
    <s v="-"/>
    <s v="-"/>
    <s v="-"/>
    <s v="-"/>
    <s v="-"/>
    <s v="کریستال"/>
    <s v="قطعه معیوب"/>
    <s v="ایراد در مواد اولیه "/>
    <n v="1"/>
    <s v="IK01348180"/>
    <s v="-"/>
    <s v="1404/02/01"/>
    <s v="کاظمی پور"/>
    <x v="2"/>
    <s v="-"/>
    <s v="-"/>
    <s v="بسته شده"/>
    <s v="-"/>
    <s v="-"/>
  </r>
  <r>
    <n v="1"/>
    <s v="-"/>
    <n v="211722"/>
    <s v="1404/01/28"/>
    <s v="1404/01"/>
    <x v="0"/>
    <x v="1"/>
    <s v="جلو آمپر"/>
    <s v="جلو آمپر تارا اتوماتیک"/>
    <s v="ايراد عملكردي آمپر(LCD عملكرد اعداد ناقص )يك نمونه رويت شد"/>
    <s v="LCD"/>
    <s v="NOK"/>
    <s v="1404/02/01"/>
    <s v="-"/>
    <s v="-"/>
    <s v="-"/>
    <s v="-"/>
    <s v="LCDمعیوب"/>
    <s v="-"/>
    <s v="LCD"/>
    <s v="قطعه معیوب"/>
    <s v="ایراد در مواد اولیه "/>
    <n v="1"/>
    <s v="IK01348180"/>
    <s v="-"/>
    <s v="1404/02/01"/>
    <s v="کاظمی پور"/>
    <x v="1"/>
    <s v="-"/>
    <s v="-"/>
    <s v="بسته شده"/>
    <s v="-"/>
    <s v="-"/>
  </r>
  <r>
    <n v="1"/>
    <s v="-"/>
    <n v="211724"/>
    <s v="1404/01/26"/>
    <s v="1404/01"/>
    <x v="0"/>
    <x v="1"/>
    <s v="جلو آمپر"/>
    <s v="جلو آمپر تارا اتوماتیک"/>
    <s v="ايراد عملكردي آمپر(عملكردنگينيESP )يك نمونه رويت شد"/>
    <s v="عملکرد نگینی(لوگو)"/>
    <s v="NOK"/>
    <s v="1404/02/01"/>
    <s v="-"/>
    <s v="-"/>
    <s v="-"/>
    <s v="-"/>
    <s v="اتصالی مقاومت SMD به دلیل پاشش قلع"/>
    <s v="-"/>
    <s v="مقاومت "/>
    <s v="اتصالی(پاشش قلع)"/>
    <s v="عدم دقت اپراتور شارژ جلو آمپر"/>
    <n v="1"/>
    <s v="IK01348180"/>
    <s v="-"/>
    <s v="1404/02/01"/>
    <s v="کاظمی پور"/>
    <x v="4"/>
    <s v="-"/>
    <s v="طاهرپور"/>
    <s v="بسته شده"/>
    <s v="استفاده از وان قلع جهت قلع کاری پایه های قطعات THT"/>
    <s v="-"/>
  </r>
  <r>
    <n v="1"/>
    <s v="-"/>
    <n v="211759"/>
    <s v="1404/01/26"/>
    <s v="1404/01"/>
    <x v="0"/>
    <x v="1"/>
    <s v="کلید شیشه بالابر"/>
    <s v="کلید شیشه بالابر عقب چپ سورن"/>
    <s v="ايراد موج دار بودن و زائده اضافي شيشه بالابر غقب چپ كه به رويت نماينده سازنده آقاي رامندي رسيد"/>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5"/>
    <s v="IK016270PB"/>
    <s v="-"/>
    <s v="-"/>
    <s v="-"/>
    <x v="2"/>
    <s v="-"/>
    <s v="-"/>
    <s v="بسته شده"/>
    <s v="-"/>
    <s v="-"/>
  </r>
  <r>
    <n v="1"/>
    <s v="-"/>
    <n v="211830"/>
    <s v="1404/01/27"/>
    <s v="1404/01"/>
    <x v="0"/>
    <x v="1"/>
    <s v="جلو آمپر"/>
    <s v="جلو آمپرSOREN TC 85 گانه"/>
    <s v="ايراد كسري زه دور آمپر نشانگر سطح دماي آب. ايراد به رو ئيت نماينده ساپكو رسيد."/>
    <s v="ایراد ظاهری"/>
    <s v="-"/>
    <s v="-"/>
    <s v="-"/>
    <s v="-"/>
    <s v="-"/>
    <s v="-"/>
    <s v="-"/>
    <s v="-"/>
    <s v="بزل"/>
    <s v="ظاهری"/>
    <s v="ایراد در مواد اولیه "/>
    <n v="1"/>
    <s v="IK01033880"/>
    <s v="-"/>
    <s v="-"/>
    <s v="-"/>
    <x v="1"/>
    <s v="-"/>
    <s v="-"/>
    <s v="بسته شده"/>
    <s v="-"/>
    <s v="-"/>
  </r>
  <r>
    <n v="1"/>
    <s v="-"/>
    <n v="212020"/>
    <s v="1404/02/01"/>
    <s v="1404/02"/>
    <x v="1"/>
    <x v="1"/>
    <s v="NOD"/>
    <s v="NBCM 207"/>
    <s v="ايراد عملكردي  NBCM (عملكرد نادرست برفپاكن جلو دسته برفپاكن تك پايين 4 تا ميزند) يك مورد رويت شد."/>
    <s v="عدم عملكرد ادوات برقي خودرو "/>
    <s v="OK"/>
    <s v="1404/02/28"/>
    <s v="OK"/>
    <s v="1404/02/29"/>
    <s v="-"/>
    <s v="-"/>
    <s v="موردی مشاهده نگردید با بررسی ممسیر برف پاک کن تیم به این نتیجه رسید که در صورت کانکت نشدن درست کانکتور 40 پین سفید (دسته سیم)ایراد رویت میگردد. با شبیه سازی موضوع ایراد رویت گردید"/>
    <s v="ایراد به دلیل جازدن نامناسب کانکتور دسته‌سیم در فرآیند مونتاژ ایجاد گردیده است."/>
    <s v="موردی مشاهده نگردید با بررسی ممسیر برف پاک کن تیم به این نتیجه رسید که در صورت کانکت نشدن درست کانکتور 40 پین سفید (دسته سیم)ایراد رویت میگردد. با شبیه سازی موضوع ایراد رویت گردید"/>
    <s v="قطعه سالم"/>
    <s v="ایراد مشتری"/>
    <n v="1"/>
    <s v="IK01596980"/>
    <s v="-"/>
    <s v="1404/02/28"/>
    <s v="کاظمی پور"/>
    <x v="2"/>
    <s v="-"/>
    <s v="-"/>
    <s v="بسته شده"/>
    <s v="ایراد به دلیل جازدن نامناسب کانکتور دسته‌سیم در فرآیند مونتاژ ایجاد گردیده است."/>
    <s v="-"/>
  </r>
  <r>
    <n v="1"/>
    <s v="-"/>
    <n v="212028"/>
    <s v="1404/02/01"/>
    <s v="1404/02"/>
    <x v="1"/>
    <x v="1"/>
    <s v="NOD"/>
    <s v="NBCM TARA SAL"/>
    <s v="ايراد عملكردي  NBCM (عدم عملكرد چراغ خطر و نمره عقب راست) يك مورد رويت شد"/>
    <s v="عدم عملكرد ادوات برقي خودرو "/>
    <s v="OK"/>
    <s v="1404/02/20"/>
    <s v="-"/>
    <s v="-"/>
    <s v="-"/>
    <s v="-"/>
    <s v="اتصالی اهمی زیر پایه میکرو که با حرارت دادن ایراد برطرف گردید "/>
    <s v="اتصالی اهمی"/>
    <s v="IC میکرو"/>
    <s v="اتصالی"/>
    <s v="خرابی نازل پاشش فلکس"/>
    <n v="1"/>
    <s v="IK01843080"/>
    <s v="-"/>
    <s v="1404/02/20"/>
    <s v="کاظمی پور"/>
    <x v="2"/>
    <s v="-"/>
    <s v="-"/>
    <s v="بسته شده"/>
    <s v="تعويض نازل فلكس وان قلع"/>
    <s v="-"/>
  </r>
  <r>
    <n v="1"/>
    <s v="-"/>
    <n v="212132"/>
    <s v="1404/02/02"/>
    <s v="1404/02"/>
    <x v="1"/>
    <x v="1"/>
    <s v="جلو آمپر"/>
    <s v="جلو آمپر دنا ST"/>
    <s v="ايراد ليبل آمپر(همخواني ليبل مشخصات و رديابي ) رويت شد"/>
    <s v="ارسال اشتباه ( مدل يا نوع )"/>
    <s v="-"/>
    <s v="-"/>
    <s v="-"/>
    <s v="-"/>
    <s v="-"/>
    <s v="-"/>
    <s v="ایراد ظاهری بود رویت شد"/>
    <s v="اشتباه اپراتور بسته بندی در حین نصب بارکد"/>
    <s v="محصول"/>
    <s v="نصب اشتباه بارکد"/>
    <s v="عدم دقت اپراتور بسته بندی"/>
    <n v="48"/>
    <s v="IK00843780"/>
    <s v="-"/>
    <s v="-"/>
    <s v="-"/>
    <x v="4"/>
    <s v="-"/>
    <s v="شریفی"/>
    <s v="بسته شده"/>
    <s v="فاصله انداختن بين SET UP محصول هاي مشترك"/>
    <s v="-"/>
  </r>
  <r>
    <n v="1"/>
    <s v="-"/>
    <n v="212345"/>
    <s v="1404/02/05"/>
    <s v="1404/02"/>
    <x v="1"/>
    <x v="1"/>
    <s v="جلو آمپر"/>
    <s v="جلو آمپر دنا اتوماتیک SBR"/>
    <s v="ايرادعملكردآمپر(قطعي صداي هشدار ) رويت شد"/>
    <s v="عدم اعلام  اخطار  هشدار(بازر)"/>
    <s v="NOK"/>
    <s v="1404/02/28"/>
    <s v="-"/>
    <s v="-"/>
    <s v="-"/>
    <s v="-"/>
    <s v="بازر معیوب"/>
    <s v="بازر تحویل مهندس رحمانی پور"/>
    <s v="بازر"/>
    <s v="قطعه معیوب"/>
    <s v="ایراد در مواد اولیه "/>
    <n v="1"/>
    <s v="IK02625280"/>
    <s v="-"/>
    <s v="1404/02/28"/>
    <s v="کاظمی پور"/>
    <x v="1"/>
    <s v="-"/>
    <s v="-"/>
    <s v="بسته شده"/>
    <s v="-"/>
    <s v="-"/>
  </r>
  <r>
    <n v="1"/>
    <s v="-"/>
    <n v="212454"/>
    <s v="1404/02/08"/>
    <s v="1404/02"/>
    <x v="1"/>
    <x v="1"/>
    <s v="جلو آمپر"/>
    <s v="جلو آمپر207  معمولی85 گانه"/>
    <s v="ايرادي عملكردي جلوآمپر(عدم عملكرد كامل آمپر ) رويت شد"/>
    <s v="عدم عملكرد كامل"/>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033680"/>
    <s v="-"/>
    <s v="-"/>
    <s v="-"/>
    <x v="2"/>
    <s v="-"/>
    <s v="-"/>
    <s v="بسته شده"/>
    <s v="مقدار خازن کریستال از 22پیکو به 10 پیکو کاهش یافت"/>
    <s v="-"/>
  </r>
  <r>
    <n v="1"/>
    <s v="-"/>
    <n v="212975"/>
    <s v="1404/02/17"/>
    <s v="1404/02"/>
    <x v="1"/>
    <x v="1"/>
    <s v="NOD"/>
    <s v="NBCM 207"/>
    <s v="ايراد عملكرد نادرست NBCM(گير داشتن يا پله اي ) در آديت به رويت رسيد"/>
    <s v="گير داشتن يا پله اي"/>
    <s v="NOK"/>
    <s v="1404/02/30"/>
    <s v="-"/>
    <s v="-"/>
    <s v="-"/>
    <s v="-"/>
    <s v="ايراد نرم افزاري"/>
    <s v="ايراد نرم افزاري"/>
    <s v="-"/>
    <s v="ايراد نرم افزاري"/>
    <s v="ايراد نرم افزاري"/>
    <n v="4"/>
    <s v="IK01596980"/>
    <s v="-"/>
    <s v="1404/02/30"/>
    <s v="کاظمی پور"/>
    <x v="5"/>
    <s v="-"/>
    <s v="-"/>
    <s v="بسته شده"/>
    <s v="به روز رساني نرم افزار"/>
    <s v="-"/>
  </r>
  <r>
    <n v="1"/>
    <s v="-"/>
    <n v="213316"/>
    <s v="1404/02/23"/>
    <s v="1404/02"/>
    <x v="1"/>
    <x v="1"/>
    <s v="کلید شیشه بالابر"/>
    <s v="کلید شیشه بالابرعقب دنا"/>
    <s v="ايراد عدم عملكرد كليد شيشه بالابرعقب خودرو دنا ، مرتبط به شركت سازه پويش بطوريكه حين نصب كانكتور به سوكت ،شيشه به سمت بالا مي رود و عملكرد به سمت پايين ندارد"/>
    <s v="عملکرد ناقص"/>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03290DG"/>
    <s v="-"/>
    <s v="-"/>
    <s v="-"/>
    <x v="2"/>
    <s v="-"/>
    <s v="-"/>
    <s v="بسته شده"/>
    <s v="-"/>
    <s v="-"/>
  </r>
  <r>
    <n v="1"/>
    <s v="-"/>
    <n v="213358"/>
    <s v="1404/02/24"/>
    <s v="1404/02"/>
    <x v="1"/>
    <x v="1"/>
    <s v="جلو آمپر"/>
    <s v="جلو آمپر207  معمولی85 گانه"/>
    <s v="ايراد عدم عملكرد كامل جلو آمپر به رويت آقاي سبحاني رسانده شد"/>
    <s v="عدم عملكرد كامل"/>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2"/>
    <s v="IK01033680"/>
    <s v="-"/>
    <s v="-"/>
    <s v="-"/>
    <x v="2"/>
    <s v="-"/>
    <s v="-"/>
    <s v="بسته شده"/>
    <s v="مقدار خازن کریستال از 22پیکو به 10 پیکو کاهش یافت"/>
    <s v="-"/>
  </r>
  <r>
    <n v="1"/>
    <s v="-"/>
    <n v="213370"/>
    <s v="1404/02/27"/>
    <s v="1404/02"/>
    <x v="1"/>
    <x v="1"/>
    <s v="NOD"/>
    <s v="NBCM 207"/>
    <s v="ايراد سختي مونتاژ  NBCM (سختي مونتاژ جانرفتن يا كليك نكردن كانكتور) رويت شد"/>
    <s v="کانکتور"/>
    <s v="NOK"/>
    <s v="1404/03/10"/>
    <s v="-"/>
    <s v="-"/>
    <s v="-"/>
    <s v="-"/>
    <s v="همراستا نبودن پین کانکتور (داخلی سازی شده)"/>
    <s v="بی دقتی اپراتور در زمان مونتاژ پین کانکتور"/>
    <s v="کانکتور 14 پین"/>
    <s v="همراستا نبودن پین کانکتور (داخلی سازی شده)"/>
    <s v="ایراد در مواد اولیه "/>
    <n v="4"/>
    <s v="IK01596980"/>
    <s v="-"/>
    <s v="1404/03/10"/>
    <s v="کاظمی پور"/>
    <x v="3"/>
    <s v="مونتاژ پین"/>
    <s v="-"/>
    <s v="بسته شده"/>
    <s v="انجام تست كانكتور 14 پين با كانكتور مقابل به تعداد 2000 عدد_x0009_"/>
    <s v="-"/>
  </r>
  <r>
    <n v="1"/>
    <s v="-"/>
    <n v="213630"/>
    <s v="1404/02/29"/>
    <s v="1404/02"/>
    <x v="1"/>
    <x v="1"/>
    <s v="جلو آمپر"/>
    <s v="جلو آمپر تارا اتوماتیک"/>
    <s v="ايرادي عملكردي جلوآمپر(عدم نمايش مقدار بنزين مثلث صفحه ديجيتال) رويت شد"/>
    <s v="LCD"/>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348180"/>
    <s v="-"/>
    <s v="-"/>
    <s v="-"/>
    <x v="2"/>
    <s v="-"/>
    <s v="-"/>
    <s v="بسته شده"/>
    <s v="-"/>
    <s v="-"/>
  </r>
  <r>
    <n v="1"/>
    <s v="-"/>
    <n v="213704"/>
    <s v="1404/03/03"/>
    <s v="1404/03"/>
    <x v="2"/>
    <x v="1"/>
    <s v="جلو آمپر"/>
    <s v="جلو آمپر تارا اتوماتیک"/>
    <s v="ايرادي عملكردي جلوآمپر(عدم عملكرد نگيني باطري) رويت شد"/>
    <s v="عملکرد نگینی(لوگو)"/>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348180"/>
    <s v="-"/>
    <s v="-"/>
    <s v="-"/>
    <x v="2"/>
    <s v="-"/>
    <s v="-"/>
    <s v="بسته شده"/>
    <s v="-"/>
    <s v="-"/>
  </r>
  <r>
    <n v="1"/>
    <s v="-"/>
    <n v="213898"/>
    <s v="1404/03/03"/>
    <s v="1404/03"/>
    <x v="2"/>
    <x v="1"/>
    <s v="NOD"/>
    <s v="NBCM DENA"/>
    <s v="ايراد سختي مونتاژ  NBCM (عدم نصب سوكت 14 پين جا نرفتن) رويت شد"/>
    <s v="کانکتور"/>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403980"/>
    <s v="-"/>
    <s v="-"/>
    <s v="-"/>
    <x v="2"/>
    <s v="-"/>
    <s v="-"/>
    <s v="بسته شده"/>
    <s v="-"/>
    <s v="-"/>
  </r>
  <r>
    <n v="1"/>
    <s v="-"/>
    <n v="213942"/>
    <s v="1404/03/04"/>
    <s v="1404/03"/>
    <x v="2"/>
    <x v="1"/>
    <s v="جلو آمپر"/>
    <s v="جلو آمپر207  معمولی85 گانه"/>
    <s v="ايرادي ظاهري عملكردي جلوآمپر(وجود اشغال در آمپر كيلومتر شمار) رويت شد"/>
    <s v="ایراد ظاهری"/>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033680"/>
    <s v="-"/>
    <s v="-"/>
    <s v="-"/>
    <x v="2"/>
    <s v="-"/>
    <s v="-"/>
    <s v="بسته شده"/>
    <s v="-"/>
    <s v="-"/>
  </r>
  <r>
    <n v="1"/>
    <s v="-"/>
    <n v="214383"/>
    <s v="1404/03/13"/>
    <s v="1404/03"/>
    <x v="2"/>
    <x v="1"/>
    <s v="کلید شیشه بالابر"/>
    <s v="کلید شیشه بالابر جلو چپ دنا"/>
    <s v="عملكرد نادرست كليد آينه تاشو در مجموعه كليد شيشه بالابر جلو چپ - خاكستري تيره- خودرو دنا؛ مرتبط با  شركت سازه پويش(بطوريكه تزريق نامناسب روي بزل حد فاصل تا ماژول وجود داشته و با نمونه هاي كنار خط متفاوت مي باشد كه باعث شده ماژول تنظيم آينه و فولدآنفولد به سختي عملكرد داشته باشد)"/>
    <s v="عملکرد ناقص تنظیم آینه"/>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4085DG"/>
    <s v="-"/>
    <s v="-"/>
    <s v="-"/>
    <x v="2"/>
    <s v="-"/>
    <s v="-"/>
    <s v="بسته شده"/>
    <s v="-"/>
    <s v="-"/>
  </r>
  <r>
    <n v="1"/>
    <s v="-"/>
    <n v="214608"/>
    <s v="1404/03/20"/>
    <s v="1404/03"/>
    <x v="2"/>
    <x v="1"/>
    <s v="جلو آمپر"/>
    <s v="جلو آمپر207 اتوماتیک85 گانه"/>
    <s v="ايرادي عملكردي جلوآمپر(عدم عملكرد صفحه ديجيتال) به همراه كارشناس ساپكو رويت شد"/>
    <s v="LCD"/>
    <s v="-"/>
    <s v="-"/>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IK01917980"/>
    <s v="-"/>
    <s v="-"/>
    <s v="-"/>
    <x v="2"/>
    <s v="-"/>
    <s v="-"/>
    <s v="بسته شده"/>
    <s v="-"/>
    <s v="-"/>
  </r>
  <r>
    <n v="1"/>
    <s v="-"/>
    <n v="214660"/>
    <s v="1404/03/20"/>
    <s v="1404/03"/>
    <x v="2"/>
    <x v="1"/>
    <s v="NOD"/>
    <s v="NBCM TARA SAL"/>
    <s v="ايراد عملكردي NBCM  عدم عملكرد ريموت كنترل يك نمونه رويت شد قطعه تعويض و كليم گرديد."/>
    <s v="عدم عملكرد ادوات برقي خودرو "/>
    <s v="NOK"/>
    <s v="1404/04/25"/>
    <s v="-"/>
    <s v="-"/>
    <s v="-"/>
    <s v="-"/>
    <s v="معیوب بودن قطعه ماژول"/>
    <s v="-"/>
    <s v="ماژول "/>
    <s v="قطعه معیوب"/>
    <s v="ایراد در مواد اولیه "/>
    <n v="1"/>
    <s v="IK01843080"/>
    <s v="-"/>
    <s v="1404/04/25"/>
    <s v="کاظمی پور"/>
    <x v="1"/>
    <s v="-"/>
    <s v="-"/>
    <s v="بسته شده"/>
    <s v="-"/>
    <s v="-"/>
  </r>
  <r>
    <n v="1"/>
    <s v="-"/>
    <n v="214661"/>
    <s v="1404/03/20"/>
    <s v="1404/03"/>
    <x v="2"/>
    <x v="1"/>
    <s v="NOD"/>
    <s v="NBCM DENA SBR"/>
    <s v="ايراد عملكردي NBCM  عدم عملكرد چراغ نگيني فلاشر يك نمونه رويت شد"/>
    <s v="عدم عملكرد ادوات برقي خودرو "/>
    <s v="OK"/>
    <s v="1404/04/10"/>
    <s v="-"/>
    <s v="-"/>
    <s v="-"/>
    <s v="-"/>
    <s v="عدم اتصال قطعه BTSبه پد"/>
    <s v="-"/>
    <s v="IC BTS"/>
    <s v="کمبود قلع "/>
    <s v="استنسیل معیوب"/>
    <n v="1"/>
    <s v="IK02628880"/>
    <s v="-"/>
    <s v="1404/04/10"/>
    <s v="کاظمی پور"/>
    <x v="3"/>
    <s v="SCREEN PRINTER"/>
    <s v="-"/>
    <s v="بسته شده"/>
    <s v="-"/>
    <s v="-"/>
  </r>
  <r>
    <n v="1"/>
    <s v="-"/>
    <n v="214858"/>
    <s v="1404/03/22"/>
    <s v="1404/03"/>
    <x v="2"/>
    <x v="1"/>
    <s v="جلو آمپر"/>
    <s v="جلو آمپر207  معمولی85 گانه"/>
    <s v="ايراد عملكرد آمپر (اتصالي و قطعي آلارم هشدار دهندها) به رويت آقاي سبحاني رسانده شد"/>
    <s v="عدم اعلام  اخطار  هشدار(بازر)"/>
    <s v="NOK"/>
    <s v="1404/04/25"/>
    <s v="-"/>
    <s v="-"/>
    <s v="-"/>
    <s v="-"/>
    <s v="نداشتن قلع پایه بازر"/>
    <s v="-"/>
    <s v="بازر"/>
    <s v="نبود قلع "/>
    <s v="عدم دقت اپراتور"/>
    <n v="2"/>
    <s v="IK01033680"/>
    <s v="-"/>
    <s v="1404/04/25"/>
    <s v="کاظمی پور"/>
    <x v="4"/>
    <s v="-"/>
    <s v="تقی پور،نوری"/>
    <s v="بسته شده"/>
    <s v="-"/>
    <s v="-"/>
  </r>
  <r>
    <n v="1"/>
    <s v="-"/>
    <n v="214859"/>
    <s v="1404/03/22"/>
    <s v="1404/03"/>
    <x v="2"/>
    <x v="1"/>
    <s v="جلو آمپر"/>
    <s v="جلو آمپر تارا اتوماتیک"/>
    <s v="ايرادي عملكردي جلوآمپر(روشن نشدن خودرو ) به رويت كارشناس ساپكو رسانده شد"/>
    <s v="عدم عملكرد ادوات برقي خودرو "/>
    <s v="NOK"/>
    <s v="1404/04/10"/>
    <s v="-"/>
    <s v="-"/>
    <s v="-"/>
    <s v="-"/>
    <s v="اتصالی دیود مسیر باتری که باعث سوختن دیود دوم گردیده"/>
    <s v="-"/>
    <s v="دیود"/>
    <s v="اتصالی"/>
    <s v="اتصالی دیود"/>
    <n v="1"/>
    <s v="IK01348180"/>
    <s v="-"/>
    <s v="1404/04/10"/>
    <s v="کاظمی پور"/>
    <x v="4"/>
    <s v="-"/>
    <s v="نوشین خادمی"/>
    <s v="بسته شده"/>
    <s v="-"/>
    <s v="-"/>
  </r>
  <r>
    <n v="1"/>
    <s v="-"/>
    <n v="214902"/>
    <s v="1404/03/22"/>
    <s v="1404/03"/>
    <x v="2"/>
    <x v="1"/>
    <s v="کلید شیشه بالابر"/>
    <s v="کلید شیشه بالابر جلو راست سورن"/>
    <s v="دفرمگي سطح ، وجود پليسه اضافي و پليسه گيري نامناسب و تيز بودن لبه پايين سطح قاب پنل شيشه بالابر درب جلو راست و چپ(ايراد پرتكرار)"/>
    <s v="ایراد ظاهری"/>
    <s v="-"/>
    <s v="-"/>
    <s v="-"/>
    <s v="-"/>
    <s v="-"/>
    <s v="-"/>
    <s v="-"/>
    <s v="-"/>
    <s v="-"/>
    <s v="ایراد در قالب پلیمری"/>
    <s v="ایراد در قالب پلیمری"/>
    <n v="10"/>
    <s v="IK016269PB"/>
    <s v="-"/>
    <s v="-"/>
    <s v="-"/>
    <x v="1"/>
    <s v="-"/>
    <s v="-"/>
    <s v="بسته شده"/>
    <s v="-"/>
    <s v="-"/>
  </r>
  <r>
    <n v="1"/>
    <s v="-"/>
    <n v="215168"/>
    <s v="1404/04/09"/>
    <s v="1404/04"/>
    <x v="3"/>
    <x v="1"/>
    <s v="جلو آمپر"/>
    <s v="جلو آمپر تارا دستی"/>
    <s v="ايرادي عملكردي جلوآمپر(عدم عملكرد نورزمينه پشت آمپرسرعت) رويت شد"/>
    <s v="عدم عملكرد ادوات برقي خودرو "/>
    <s v="NOK"/>
    <s v="1404/05/01"/>
    <s v="-"/>
    <s v="-"/>
    <s v="-"/>
    <s v="-"/>
    <s v="LED بک لایت بر اثر ضربه شکسته "/>
    <s v="شبیه سازی افتادن و ایجاد ایراد مشابه "/>
    <s v="LED"/>
    <s v="قطعه شکسته"/>
    <s v="بر اثر ضربه ناشی از افتادن محصول"/>
    <n v="1"/>
    <s v="IK01288780"/>
    <s v="-"/>
    <s v="1404/05/01"/>
    <s v="کاظمی پور"/>
    <x v="2"/>
    <s v="-"/>
    <s v="-"/>
    <s v="بسته شده"/>
    <s v="اصلاح لايت باكس (تغيير قالب )جهت كاهش ريسك برخورد لايت باكس به قطعات SMD PCB"/>
    <s v="-"/>
  </r>
  <r>
    <n v="1"/>
    <s v="-"/>
    <n v="215397"/>
    <s v="1404/04/17"/>
    <s v="1404/04"/>
    <x v="3"/>
    <x v="1"/>
    <s v="NOD"/>
    <s v="SBM 207"/>
    <s v="ايراد عملكردي SBCM  اتصالي بالابرها جلو و قفل مركزي و چراغ سقف چشمك ميزند يك نمونه رويت شد"/>
    <s v="عدم عملكرد ادوات برقي خودرو "/>
    <s v="NOK"/>
    <s v="1404/05/01"/>
    <s v="-"/>
    <s v="-"/>
    <s v="-"/>
    <s v="-"/>
    <s v="با توجه به اینکه قطعه دریافت نگردیده و ایراد مشابه در اخطار کیفی پیشین وجود داشته است،پاسخ حاضر بر اساس اقدامات قبلی ارائه شده است."/>
    <s v="-"/>
    <s v="-"/>
    <s v="عدم دریافت قطعه"/>
    <s v="پاسخ با ایراد مشابه(عدم دریافت قطعه)"/>
    <n v="1"/>
    <s v="YG20240320"/>
    <s v="-"/>
    <s v="-"/>
    <s v="-"/>
    <x v="2"/>
    <s v="-"/>
    <s v="-"/>
    <s v="بسته شده"/>
    <s v="-"/>
    <s v="-"/>
  </r>
  <r>
    <n v="1"/>
    <s v="-"/>
    <n v="215475"/>
    <s v="1404/04/18"/>
    <s v="1404/04"/>
    <x v="3"/>
    <x v="1"/>
    <s v="جلو آمپر"/>
    <s v="جلو آمپر207 اتوماتیک85 گانه"/>
    <s v="ايراد قطعي جلو آمپر بعد روشن ماندن خودرو يك مورد با ايراد برق پشت آمپر قطع ميشود"/>
    <s v=" صداي اضافه و قطع و وصل پشت آمپر"/>
    <s v="NOK"/>
    <s v="1404/05/01"/>
    <s v="-"/>
    <s v="-"/>
    <s v="-"/>
    <s v="-"/>
    <s v="یک پایه قطه خازن ورودی رگلاتور قلع نداشت  و بر اثر ضربه پایه دوم با پد مقداری جداشده که اپراتور قطعه را خوابونده و پایه اول بصورت ناقص لحیم کاری کرده   "/>
    <s v="به دلیل اتصال نامناسب قطعه  محصول مدام ریست میشود"/>
    <s v="خازن"/>
    <s v=" اتصال نامناسب پایه به پد"/>
    <s v="کمبود قلع "/>
    <n v="1"/>
    <s v="IK01917980"/>
    <s v="-"/>
    <s v="1404/05/01"/>
    <s v="کاظمی پور"/>
    <x v="4"/>
    <s v="-"/>
    <s v="-"/>
    <s v="بسته شده"/>
    <s v="با توجه به اقدامات تعريف شده قبلي استفاده از كارتن پلاست و نايلون حباب دار موثر نبوده ، در حال حاضر موثرترين اقدام انبارش در مگزين است كه در حاضر به علت تيراژ بالا و كمبود مگزين گهگاهي انبارش در پالت انجام مي گردد لذا مقرر گرديد به ميزان تيراژ توليد سفارش گذاري مگزين انجام پذيرد"/>
    <s v="-"/>
  </r>
  <r>
    <n v="1"/>
    <s v="-"/>
    <n v="215558"/>
    <s v="1404/04/19"/>
    <s v="1404/04"/>
    <x v="3"/>
    <x v="1"/>
    <s v="MFD"/>
    <s v="MFD RUNNA"/>
    <s v="ايراد عملكرد نادرست نمايشگر ديجيتال بر روي داشبورد."/>
    <s v="LCD"/>
    <s v="NOK"/>
    <s v="1404/05/01"/>
    <s v="-"/>
    <s v="-"/>
    <s v="-"/>
    <s v="-"/>
    <s v="استفاده از کانکتور lcd غیر Gold"/>
    <s v="-"/>
    <s v="کانکتور LCD"/>
    <s v="اتصال نامناسب فلتLCD"/>
    <s v="استفاده از کانکتور lcd غیر Gold"/>
    <n v="1"/>
    <s v="IK00473280"/>
    <s v="-"/>
    <s v="-"/>
    <s v="-"/>
    <x v="1"/>
    <s v="-"/>
    <s v="-"/>
    <s v="بسته شده"/>
    <s v="-"/>
    <s v="-"/>
  </r>
  <r>
    <n v="1"/>
    <s v="-"/>
    <n v="215690"/>
    <s v="1404/04/22"/>
    <s v="1404/04"/>
    <x v="3"/>
    <x v="1"/>
    <s v="جلو آمپر"/>
    <s v="جلو آمپرSOREN TC 85 گانه"/>
    <s v="وجود صداي اضافي كليد شاخص تنظيم جلو آمپر (صداي اضافي كليد شاخص تنظيم جلو آمپر در تست جاده)   ايراد پرتكرار - ايراد به رويت اقاي كشاورز رسيده است."/>
    <s v="کلید تریپ"/>
    <s v="-"/>
    <s v="-"/>
    <s v="-"/>
    <s v="-"/>
    <s v="-"/>
    <s v="-"/>
    <s v="-"/>
    <s v="-"/>
    <s v="-"/>
    <s v="عدم دریافت قطعه"/>
    <s v="پاسخ با ایراد مشابه(عدم دریافت قطعه)"/>
    <n v="3"/>
    <s v="IK01033880"/>
    <s v="-"/>
    <s v="-"/>
    <s v="-"/>
    <x v="2"/>
    <s v="-"/>
    <s v="-"/>
    <s v="بسته شده"/>
    <s v="-"/>
    <s v="-"/>
  </r>
  <r>
    <n v="1"/>
    <s v="-"/>
    <n v="215885"/>
    <s v="1404/04/26"/>
    <s v="1404/04"/>
    <x v="3"/>
    <x v="1"/>
    <s v="NOD"/>
    <s v="NBCM TARA SAL"/>
    <s v="ايراد عملكردي NBCM  اتصالي(عدم عملكرد بازر هنگام نصب كمربند ايمني آلارم هشدارسنسور و چراغ دنده عقب ) يك نمونه رويت شد"/>
    <s v="عدم اعلام  اخطار  هشدار(بازر)"/>
    <s v="NOK"/>
    <s v="1404/05/01"/>
    <s v="-"/>
    <s v="-"/>
    <s v="-"/>
    <s v="-"/>
    <s v="اتصالی بین پایه Icمیکرو"/>
    <s v="اتصالی اهمی"/>
    <s v="IC میکرو"/>
    <s v="اتصالی"/>
    <s v="نامشخص"/>
    <n v="1"/>
    <s v="IK01843080"/>
    <s v="-"/>
    <s v="1404/05/01"/>
    <s v="کاظمی پور"/>
    <x v="2"/>
    <s v="-"/>
    <s v="-"/>
    <s v="بسته شده"/>
    <s v="1-اصلاح فرايند تميزكاري با استفاده از دستگاه التراسونيك_x0009__x000a_2-تحت كنترل نمودن فرايند clean pcb"/>
    <s v="-"/>
  </r>
  <r>
    <n v="1"/>
    <s v="-"/>
    <n v="215925"/>
    <s v="1404/04/26"/>
    <s v="1404/04"/>
    <x v="3"/>
    <x v="1"/>
    <s v="کلید شیشه بالابر"/>
    <s v="کلید شیشه بالابر جلو چپ سورن"/>
    <s v="ايراد عدم عملكرد كليد قطع كن شيشه بالابرهاي درب هاي عقب بر روي پنل شيشه بالابر جلو چپ"/>
    <s v="عدم عملكرد ادوات برقي خودرو "/>
    <s v="-"/>
    <s v="-"/>
    <s v="-"/>
    <s v="-"/>
    <s v="-"/>
    <s v="-"/>
    <s v="با توجه به اینکه قطعه دریافت نگردیده و ایراد مشابه در اخطار کیفی پیشین وجود داشته است،پاسخ حاضر بر اساس اقدامات قبلی ارائه شده است."/>
    <s v="اتصالی اهمی"/>
    <s v="-"/>
    <s v="عدم دریافت قطعه"/>
    <s v="پاسخ با ایراد مشابه(عدم دریافت قطعه)"/>
    <n v="1"/>
    <s v="IK016268PB"/>
    <s v="-"/>
    <s v="-"/>
    <s v="-"/>
    <x v="2"/>
    <s v="-"/>
    <s v="-"/>
    <s v="بسته شده"/>
    <s v="-"/>
    <s v="-"/>
  </r>
  <r>
    <n v="1"/>
    <s v="-"/>
    <n v="215926"/>
    <s v="1404/04/26"/>
    <s v="1404/04"/>
    <x v="3"/>
    <x v="1"/>
    <s v="جلو آمپر"/>
    <s v="جلو آمپرSOREN TC 85 گانه"/>
    <s v="ايراد عدم عملكرد صفحه ديجيتال (چراغ هاي هشدار ) بر روي جلو آمپر در خودرو سورن"/>
    <s v="LCD"/>
    <s v="-"/>
    <s v="-"/>
    <s v="-"/>
    <s v="-"/>
    <s v="-"/>
    <s v="-"/>
    <s v="با توجه به اینکه قطعه دریافت نگردیده و ایراد مشابه در اخطار کیفی پیشین وجود داشته است،پاسخ حاضر بر اساس اقدامات قبلی ارائه شده است."/>
    <s v="اتصالی اهمی"/>
    <s v="-"/>
    <s v="عدم دریافت قطعه"/>
    <s v="پاسخ با ایراد مشابه(عدم دریافت قطعه)"/>
    <n v="1"/>
    <s v="IK01033880"/>
    <s v="-"/>
    <s v="-"/>
    <s v="-"/>
    <x v="2"/>
    <s v="-"/>
    <s v="-"/>
    <s v="بسته شده"/>
    <s v="-"/>
    <s v="-"/>
  </r>
  <r>
    <n v="1"/>
    <s v="-"/>
    <n v="216126"/>
    <s v="1404/04/30"/>
    <s v="1404/04"/>
    <x v="3"/>
    <x v="1"/>
    <s v="جلو آمپر"/>
    <s v="جلو آمپرSOREN TC 85 گانه"/>
    <s v="ايراد صداي غير عادي از مجموعه جلو آمپر.ايراد به روئيت نماينده ساپكو رسيد"/>
    <s v=" صداي اضافه و قطع و وصل پشت آمپر"/>
    <s v="-"/>
    <s v="-"/>
    <s v="-"/>
    <s v="-"/>
    <s v="-"/>
    <s v="-"/>
    <s v="با توجه به اینکه قطعه دریافت نگردیده و ایراد مشابه در اخطار کیفی پیشین وجود داشته است،پاسخ حاضر بر اساس اقدامات قبلی ارائه شده است."/>
    <s v="اتصالی اهمی"/>
    <s v="-"/>
    <s v="عدم دریافت قطعه"/>
    <s v="پاسخ با ایراد مشابه(عدم دریافت قطعه)"/>
    <n v="3"/>
    <s v="IK01033880"/>
    <s v="-"/>
    <s v="-"/>
    <s v="-"/>
    <x v="2"/>
    <s v="-"/>
    <s v="-"/>
    <s v="بسته شده"/>
    <s v="-"/>
    <s v="-"/>
  </r>
  <r>
    <n v="1"/>
    <s v="-"/>
    <n v="216464"/>
    <s v="1404/05/04"/>
    <s v="1404/05"/>
    <x v="4"/>
    <x v="1"/>
    <s v="NOD"/>
    <s v="NBCM 207"/>
    <s v="ايراد عملكردي NBCM  (عملكرد نادرست قفل دربها با سوئيچ) رويت گرديد"/>
    <s v="عدم عملكرد ادوات برقي خودرو "/>
    <s v="NOK"/>
    <s v="1404/05/14"/>
    <s v="-"/>
    <s v="-"/>
    <s v="-"/>
    <s v="-"/>
    <s v="اتصالی اهمی زیر پایه میکرو که با حرارت دادن ایراد برطرف گردید "/>
    <s v="اتصالی اهمی"/>
    <s v="IC میکرو"/>
    <s v="اتصالی"/>
    <s v="نامشخص"/>
    <n v="1"/>
    <s v="IK01596980"/>
    <s v="-"/>
    <s v="1404/05/14"/>
    <s v="کاظمی پور"/>
    <x v="2"/>
    <s v="-"/>
    <s v="-"/>
    <s v="بسته شده"/>
    <s v="1-اصلاح فرايند تميزكاري با استفاده از دستگاه التراسونيك_x0009__x000a_2-تحت كنترل نمودن فرايند clean pcb"/>
    <s v="-"/>
  </r>
  <r>
    <n v="1"/>
    <s v="-"/>
    <n v="216497"/>
    <s v="1404/05/06"/>
    <s v="1404/05"/>
    <x v="4"/>
    <x v="1"/>
    <s v="MFD"/>
    <s v="MFD RUNNA"/>
    <s v="مطابق با اعلام نظر واحد آناليز-ايراد عدم عملكرد صفحه نمايشگر بالاي داشبورد و عدم عملكرد كولر مشخص گرديد به دليل ايراد كيفي مجموعه نمايشگر چند منظوره رانا ( با كد خطاي U100D عدم حضور نمايشگر چندگانه در شبكه -خطا و ايجاد اختلال در شبكه ).شايان ذكر است با توجه به شبكه بودن قطعه مذكور خرابي صفحه نمايشگر باعث عدم عملكرد كولر خودرو نيز گرديده است كه با تعويض قطعه هر دو ايراد رفع گرديد"/>
    <s v="LCD"/>
    <s v="-"/>
    <s v="-"/>
    <s v="-"/>
    <s v="-"/>
    <s v="-"/>
    <s v="-"/>
    <s v="-"/>
    <s v="-"/>
    <s v="-"/>
    <s v="عدم دریافت قطعه"/>
    <s v="پاسخ با ایراد مشابه(عدم دریافت قطعه)"/>
    <n v="1"/>
    <s v="IK00473280"/>
    <s v="-"/>
    <s v="-"/>
    <s v="-"/>
    <x v="2"/>
    <s v="-"/>
    <s v="-"/>
    <s v="بسته شده"/>
    <s v="-"/>
    <s v="-"/>
  </r>
  <r>
    <n v="1"/>
    <s v="-"/>
    <n v="216768"/>
    <s v="1404/05/09"/>
    <s v="1404/05"/>
    <x v="4"/>
    <x v="1"/>
    <s v="NOD"/>
    <s v="NBCM TARA SAL"/>
    <s v="ايراد عملكردي NBCM  (عملكرد نادرست عدم نمايش  دربها برروي مالتي مديا) رويت گرديد"/>
    <s v=" عدم نمايش  دربها برروي مالتي مديا"/>
    <s v="NOK"/>
    <s v="1404/06/12"/>
    <s v="-"/>
    <s v="-"/>
    <s v="-"/>
    <s v="-"/>
    <s v="در مرحله اول تست با تستر کنترل نهایی ایراد مشاهده و دیگر ایراد برطرف گردید در ادامه فلکس زیر Icمیکرو اتصالی اهمی"/>
    <s v=" اتصالی اهمی"/>
    <s v="IC میکرو"/>
    <s v=" اتصالی اهمی"/>
    <s v="وجود فلکس زیر IC میکرو"/>
    <n v="1"/>
    <s v="IK01843080"/>
    <s v="-"/>
    <s v="-"/>
    <s v="-"/>
    <x v="0"/>
    <s v="-"/>
    <s v="-"/>
    <s v="بسته شده"/>
    <s v="-"/>
    <s v="-"/>
  </r>
  <r>
    <n v="1"/>
    <s v="-"/>
    <n v="216879"/>
    <s v="1404/05/11"/>
    <s v="1404/05"/>
    <x v="4"/>
    <x v="1"/>
    <s v="جلو آمپر"/>
    <s v="جلو آمپر دنا اتوماتیک SBR"/>
    <s v="ايراد اتصالي جلو آمپر قطع و وصل پشت آمپر هنگام تنظيم صندلي راننده و ترمز زدن يك مورد به رويت كارشناس ساپكو رسانده شد."/>
    <s v="قطع و وصل پشت آمپر"/>
    <s v="OK"/>
    <s v="1404/05/26"/>
    <s v="-"/>
    <s v="-"/>
    <s v="-"/>
    <s v="-"/>
    <s v="خازن قابلمه ای شیفت دارد بصورتی که یکی از پایه ها اتصال نداشته"/>
    <s v="در تست با دستگاهAOI دو بعدی ایراد تشخیص داده نشد که علت پاک شدن سیمیلار قطعه می باشد"/>
    <s v="خازن"/>
    <s v="عدم اتصال صحیح پایه به پد"/>
    <s v="مونتاژ قطعه بصورت شیفت دار"/>
    <n v="1"/>
    <s v="IK02625280"/>
    <s v="-"/>
    <s v="1404/05/26"/>
    <s v="کاظمی پور"/>
    <x v="3"/>
    <s v="MONNTER.SAMSUNG"/>
    <s v="-"/>
    <s v="بسته شده"/>
    <s v="-"/>
    <s v="-"/>
  </r>
  <r>
    <n v="1"/>
    <s v="-"/>
    <n v="216992"/>
    <s v="1404/05/13"/>
    <s v="1404/05"/>
    <x v="4"/>
    <x v="1"/>
    <s v="MFD"/>
    <s v="MFD RUNNA"/>
    <s v="بدليل كم بودن تعداد كاراكتر هاي باركد رديابي ساعت روي داشبورد امكان ثبت آن وجود ندارد ."/>
    <s v="ایراد در لیبل"/>
    <s v="-"/>
    <s v="-"/>
    <s v="-"/>
    <s v="-"/>
    <s v="-"/>
    <s v="-"/>
    <s v="-"/>
    <s v="-"/>
    <s v="-"/>
    <s v="عدم دریافت قطعه"/>
    <s v="پاسخ با ایراد مشابه(عدم دریافت قطعه)"/>
    <n v="10"/>
    <s v="IK00473280"/>
    <s v="-"/>
    <s v="-"/>
    <s v="-"/>
    <x v="2"/>
    <s v="-"/>
    <s v="-"/>
    <s v="بسته شده"/>
    <s v="-"/>
    <s v="-"/>
  </r>
  <r>
    <n v="1"/>
    <s v="-"/>
    <n v="217015"/>
    <s v="1404/05/14"/>
    <s v="1404/05"/>
    <x v="4"/>
    <x v="1"/>
    <s v="جلو آمپر"/>
    <s v="جلو آمپر207  معمولی85 گانه"/>
    <s v="عطف به بررسي انجام شده ايراد روشن نشدن چراغ هاي پشت آمپر رويت شد  زماني كه سوئيچ را باز ميكنيم چراغ هاي پشت آمپر روشن نميشود  با تعويض قطعه ايراد برطرف گرديد  توليد مربوط به 115 امين روز سال ميباشد"/>
    <s v="عدم عملكرد ادوات برقي خودرو "/>
    <s v="-"/>
    <s v="-"/>
    <s v="-"/>
    <s v="-"/>
    <s v="-"/>
    <s v="-"/>
    <s v="-"/>
    <s v="-"/>
    <s v="-"/>
    <s v="عدم دریافت قطعه"/>
    <s v="پاسخ با ایراد مشابه(عدم دریافت قطعه)"/>
    <n v="1"/>
    <s v="IK01033680"/>
    <s v="-"/>
    <s v="-"/>
    <s v="-"/>
    <x v="2"/>
    <s v="-"/>
    <s v="-"/>
    <s v="بسته شده"/>
    <s v="-"/>
    <s v="-"/>
  </r>
  <r>
    <n v="1"/>
    <s v="-"/>
    <n v="217182"/>
    <s v="1404/05/16"/>
    <s v="1404/05"/>
    <x v="4"/>
    <x v="1"/>
    <s v="کلید شیشه بالابر"/>
    <s v="کلید شیشه بالابر عقب راست سورن"/>
    <s v="وجود دفرمگي  و ناصافي سطح مجموعه دستگيره مچي و كليدهاي شيشه بالابر"/>
    <s v="ایراد ظاهری"/>
    <s v="-"/>
    <s v="-"/>
    <s v="-"/>
    <s v="-"/>
    <s v="-"/>
    <s v="-"/>
    <s v="-"/>
    <s v="-"/>
    <s v="-"/>
    <s v="عدم دریافت قطعه"/>
    <s v="عدم دریافت قطعه"/>
    <n v="1"/>
    <s v="IK016271PB"/>
    <s v="-"/>
    <s v="-"/>
    <s v="-"/>
    <x v="2"/>
    <s v="-"/>
    <s v="-"/>
    <s v="عدم دریافت قطعه"/>
    <s v="-"/>
    <s v="-"/>
  </r>
  <r>
    <n v="1"/>
    <s v="-"/>
    <n v="217286"/>
    <s v="1404/05/18"/>
    <s v="1404/05"/>
    <x v="4"/>
    <x v="1"/>
    <s v="NOD"/>
    <s v="NBCM SOREN"/>
    <s v="عملكرد نادرست CBM كه در حالت باز نمودن سوئيچ چراغ هاي جلو و دي لايت خاموش و روشن ميشود. ايراد به روئيت نماينده ساپكو رسيد."/>
    <s v="عدم عملكرد ادوات برقي خودرو "/>
    <s v="-"/>
    <s v="-"/>
    <s v="-"/>
    <s v="-"/>
    <s v="-"/>
    <s v="-"/>
    <s v="-"/>
    <s v="-"/>
    <s v="-"/>
    <s v="عدم دریافت قطعه"/>
    <s v="پاسخ با ایراد مشابه(عدم دریافت قطعه)"/>
    <n v="1"/>
    <s v="IK01750880"/>
    <s v="-"/>
    <s v="-"/>
    <s v="-"/>
    <x v="2"/>
    <s v="-"/>
    <s v="-"/>
    <s v="بسته شده"/>
    <s v="-"/>
    <s v="-"/>
  </r>
  <r>
    <n v="1"/>
    <s v="-"/>
    <n v="217397"/>
    <s v="1404/05/20"/>
    <s v="1404/05"/>
    <x v="4"/>
    <x v="1"/>
    <s v="جلو آمپر"/>
    <s v="جلو آمپر تارا دستی"/>
    <s v="ايرادي عملكردي جلوآمپر(عدم عملكرد صفحه نمايشگر) رويت شد"/>
    <s v="LCD"/>
    <s v="NOK"/>
    <s v="1404/06/12"/>
    <s v="-"/>
    <s v="-"/>
    <s v="-"/>
    <s v="-"/>
    <s v="قطعه LCD معیوب"/>
    <s v="-"/>
    <s v="LCD"/>
    <s v="قطعه معیوب"/>
    <s v="عدم دریافت قطعه"/>
    <n v="1"/>
    <s v="IK01288780"/>
    <s v="-"/>
    <s v="-"/>
    <s v="-"/>
    <x v="1"/>
    <s v="-"/>
    <s v="-"/>
    <s v="عدم دریافت قطعه"/>
    <s v="-"/>
    <s v="-"/>
  </r>
  <r>
    <n v="1"/>
    <s v="-"/>
    <n v="217569"/>
    <s v="1404/05/28"/>
    <s v="1404/05"/>
    <x v="4"/>
    <x v="1"/>
    <s v="NOD"/>
    <s v="NBCM TARA SAL"/>
    <s v="ايراد عملكردي NBCM  (اتصالي كليد AC كولر استارت ميزنده  )يك رويت گرديد"/>
    <s v="اتصالی"/>
    <s v="NOK"/>
    <s v="1404/06/12"/>
    <s v="-"/>
    <s v="-"/>
    <s v="-"/>
    <s v="-"/>
    <s v="اتصالی مویی زیر کانکتور 40 پین"/>
    <s v="پلیسه مویی زیر کانکتور"/>
    <s v="کانکتور 40 پین"/>
    <s v="اتصالی"/>
    <s v="ایراد در مواد اولیه "/>
    <n v="1"/>
    <s v="IK01843080"/>
    <s v="-"/>
    <s v="-"/>
    <s v="-"/>
    <x v="1"/>
    <s v="-"/>
    <s v="-"/>
    <s v="بسته شده"/>
    <s v="-"/>
    <s v="-"/>
  </r>
  <r>
    <n v="1"/>
    <s v="-"/>
    <n v="217638"/>
    <s v="1404/05/29"/>
    <s v="1404/05"/>
    <x v="4"/>
    <x v="1"/>
    <s v="جلو آمپر"/>
    <s v="جلو آمپرSOREN TC 85 گانه"/>
    <s v="ايراد صداي غيرعادي در هنگام حركت از جلو آمپر سورن به دليل لقي كليد تنظيم نور چراغ پشت آمپر."/>
    <s v="صداي غير عادي(کلید تریپ)"/>
    <s v="-"/>
    <s v="-"/>
    <s v="-"/>
    <s v="-"/>
    <s v="-"/>
    <s v="-"/>
    <s v="-"/>
    <s v="-"/>
    <s v="-"/>
    <s v="عدم دریافت قطعه"/>
    <s v="پاسخ با ایراد مشابه(عدم دریافت قطعه)"/>
    <n v="4"/>
    <s v="IK01033880"/>
    <s v="-"/>
    <s v="-"/>
    <s v="-"/>
    <x v="2"/>
    <s v="-"/>
    <s v="-"/>
    <s v="بسته شده"/>
    <s v="-"/>
    <s v="-"/>
  </r>
  <r>
    <n v="1"/>
    <s v="-"/>
    <n v="217962"/>
    <s v="1404/06/08"/>
    <s v="1404/06"/>
    <x v="5"/>
    <x v="1"/>
    <s v="کلید شیشه بالابر"/>
    <s v="کلید شیشه بالابر جلو چپ سورن"/>
    <s v="خراش و اثر لك مجموعه دستگيره مچي درب جلو چپ سازه پويش"/>
    <s v="ایراد ظاهری"/>
    <s v="-"/>
    <s v="-"/>
    <s v="-"/>
    <s v="-"/>
    <s v="-"/>
    <s v="-"/>
    <s v="-"/>
    <s v="-"/>
    <s v="-"/>
    <s v="عدم دریافت قطعه"/>
    <s v="پاسخ با ایراد مشابه(عدم دریافت قطعه)"/>
    <n v="10"/>
    <s v="IK016268PB"/>
    <s v="-"/>
    <s v="-"/>
    <s v="-"/>
    <x v="2"/>
    <s v="-"/>
    <s v="-"/>
    <s v="بسته شده"/>
    <s v="-"/>
    <s v="-"/>
  </r>
  <r>
    <n v="1"/>
    <s v="-"/>
    <n v="218315"/>
    <s v="1404/06/11"/>
    <s v="1404/06"/>
    <x v="5"/>
    <x v="1"/>
    <s v="کلید شیشه بالابر"/>
    <s v="کلید شیشه بالابر جلو راست سورن"/>
    <s v="ايراد موجدار بودن مجموعه دستگيره مچي درب جلو راست"/>
    <s v="ایراد ظاهری"/>
    <s v="-"/>
    <s v="-"/>
    <s v="-"/>
    <s v="-"/>
    <s v="-"/>
    <s v="-"/>
    <s v="-"/>
    <s v="-"/>
    <s v="-"/>
    <s v="عدم دریافت قطعه"/>
    <s v="پاسخ با ایراد مشابه(عدم دریافت قطعه)"/>
    <n v="10"/>
    <s v="IK016269PB"/>
    <s v="-"/>
    <s v="-"/>
    <s v="-"/>
    <x v="2"/>
    <s v="-"/>
    <s v="-"/>
    <s v="بسته شده"/>
    <s v="-"/>
    <s v="-"/>
  </r>
  <r>
    <n v="1"/>
    <s v="-"/>
    <n v="218334"/>
    <s v="1404/06/11"/>
    <s v="1404/06"/>
    <x v="5"/>
    <x v="1"/>
    <s v="جلو آمپر"/>
    <s v="جلو آمپر تارا اتوماتیک"/>
    <s v="ايرادي عملكردي جلوآمپر( صفحه نمايشگر اعداد ناقص ) رويت شد"/>
    <s v="LCD"/>
    <s v="-"/>
    <s v="-"/>
    <s v="-"/>
    <s v="-"/>
    <s v="-"/>
    <s v="-"/>
    <s v="-"/>
    <s v="-"/>
    <s v="-"/>
    <s v="عدم دریافت قطعه"/>
    <s v="عدم دریافت قطعه"/>
    <n v="1"/>
    <s v="IK01348180"/>
    <s v="-"/>
    <s v="-"/>
    <s v="-"/>
    <x v="2"/>
    <s v="-"/>
    <s v="-"/>
    <s v="عدم دریافت قطعه"/>
    <s v="-"/>
    <s v="-"/>
  </r>
  <r>
    <n v="1"/>
    <s v="-"/>
    <n v="218335"/>
    <s v="1404/06/11"/>
    <s v="1404/06"/>
    <x v="5"/>
    <x v="1"/>
    <s v="NOD"/>
    <s v="NBCM TARA SAL SBR"/>
    <s v="ايراد عملكرديNBCM(عدم عملكرد روشن نشدن خودرو ) رويت گرديد"/>
    <s v="عدم عملكرد كامل"/>
    <s v="NOK"/>
    <s v="1404/06/20"/>
    <s v="-"/>
    <s v="-"/>
    <s v="-"/>
    <s v="-"/>
    <s v="کریستال معیوب"/>
    <s v="-"/>
    <s v="کریستال"/>
    <s v="قطعه معیوب"/>
    <s v="ایراد  در مواد اولیه"/>
    <n v="1"/>
    <s v="IK02627480"/>
    <s v="-"/>
    <s v="1404/06/20"/>
    <s v="کاظمی پور"/>
    <x v="1"/>
    <s v="-"/>
    <s v="-"/>
    <s v="بسته شده"/>
    <s v="حين اعمال ضربه خارجي، استرس داخلي در موقعيتي نزديک به قسمت چسبنده محصول متمرکز مي گردد، بنابراين ايراد ترک و شکاف در قسمت بال سطح الکترود رخ مي دهد"/>
    <s v="-"/>
  </r>
  <r>
    <n v="1"/>
    <s v="-"/>
    <n v="218425"/>
    <s v="1404/06/17"/>
    <s v="1404/06"/>
    <x v="5"/>
    <x v="1"/>
    <s v="جلو آمپر"/>
    <s v="جلو آمپر دنا SBR"/>
    <s v="ايرادي عملكردي جلوآمپر(عدم عملكرد صفحه نمايشگر) رويت شد"/>
    <s v="LCD"/>
    <s v="NOK"/>
    <s v="1404/06/20"/>
    <s v="-"/>
    <s v="-"/>
    <s v="-"/>
    <s v="-"/>
    <s v="LCDمعیوب"/>
    <s v="-"/>
    <s v="LCD"/>
    <s v="قطعه معیوب"/>
    <s v="ایراد  در مواد اولیه"/>
    <n v="1"/>
    <s v="IK02625180"/>
    <s v="-"/>
    <s v="1404/06/20"/>
    <s v="کاظمی پور"/>
    <x v="1"/>
    <s v="-"/>
    <s v="-"/>
    <s v="بسته شده"/>
    <s v="-"/>
    <s v="-"/>
  </r>
  <r>
    <n v="1"/>
    <s v="-"/>
    <n v="218478"/>
    <s v="1404/06/15"/>
    <s v="1404/06"/>
    <x v="5"/>
    <x v="1"/>
    <s v="جلو آمپر"/>
    <s v="جلو آمپر دنا SBR"/>
    <s v="ايرادي عملكردي جلوآمپر( صفحه نمايشگربرعكس ) رويت شد"/>
    <s v="LCD"/>
    <s v="NOK"/>
    <s v="1404/06/20"/>
    <s v="-"/>
    <s v="-"/>
    <s v="-"/>
    <s v="-"/>
    <s v="LCDمعیوب"/>
    <s v="-"/>
    <s v="LCD"/>
    <s v="قطعه معیوب"/>
    <s v="ایراد  در مواد اولیه"/>
    <n v="1"/>
    <s v="IK02625180"/>
    <s v="-"/>
    <s v="1404/06/20"/>
    <s v="کاظمی پور"/>
    <x v="1"/>
    <s v="-"/>
    <s v="-"/>
    <s v="بسته شده"/>
    <s v="-"/>
    <s v="-"/>
  </r>
  <r>
    <n v="1"/>
    <s v="-"/>
    <n v="218623"/>
    <s v="1404/06/15"/>
    <s v="1404/06"/>
    <x v="5"/>
    <x v="1"/>
    <s v="جلو آمپر"/>
    <s v="جلو آمپر تارا دستی SBR"/>
    <s v="ايرادي عملكردي جلوآمپر( عدم عملكرد كامل و عدم ارتباط با دياگ) رويت شد"/>
    <s v="عدم عملكرد كامل"/>
    <s v="NOK"/>
    <s v="1404/06/20"/>
    <s v="-"/>
    <s v="-"/>
    <s v="-"/>
    <s v="-"/>
    <s v="کریستال معیوب"/>
    <s v="-"/>
    <s v="کریستال"/>
    <s v="قطعه معیوب"/>
    <s v="ایراد  در مواد اولیه"/>
    <n v="1"/>
    <s v="IK02623480"/>
    <s v="-"/>
    <s v="1404/06/20"/>
    <s v="کاظمی پور"/>
    <x v="1"/>
    <s v="-"/>
    <s v="-"/>
    <s v="بسته شده"/>
    <s v="-"/>
    <s v="-"/>
  </r>
  <r>
    <n v="1"/>
    <s v="-"/>
    <n v="218978"/>
    <s v="1404/06/20"/>
    <s v="1404/06"/>
    <x v="5"/>
    <x v="1"/>
    <s v="کلید شیشه بالابر"/>
    <s v="کلید شیشه بالابر عقب چپ سورن"/>
    <s v="دفرمگي و ناصافي سطح قاب كليد شيشه بالابر عقب چپ"/>
    <s v="ایراد ظاهری"/>
    <s v="-"/>
    <s v="-"/>
    <s v="-"/>
    <s v="-"/>
    <s v="-"/>
    <s v="-"/>
    <s v="-"/>
    <s v="-"/>
    <s v="-"/>
    <s v="عدم دریافت قطعه"/>
    <s v="عدم دریافت قطعه"/>
    <n v="2"/>
    <s v="IK016270PB"/>
    <s v="-"/>
    <s v="-"/>
    <s v="-"/>
    <x v="2"/>
    <s v="-"/>
    <s v="-"/>
    <s v="عدم دریافت قطعه"/>
    <s v="-"/>
    <s v="-"/>
  </r>
  <r>
    <n v="1"/>
    <s v="-"/>
    <n v="219051"/>
    <s v="1404/06/23"/>
    <s v="1404/06"/>
    <x v="5"/>
    <x v="1"/>
    <s v="جلو آمپر"/>
    <s v="جلو آمپر دنا SBR"/>
    <s v="ايرادعملكرد نادرست جلو آمپر (عدم عملكرد نگيني كمربند) يك نمونه رويت شد."/>
    <s v="عملکرد نگینی(لوگو)"/>
    <s v="-"/>
    <s v="-"/>
    <s v="-"/>
    <s v="-"/>
    <s v="-"/>
    <s v="-"/>
    <s v="-"/>
    <s v="-"/>
    <s v="-"/>
    <s v="عدم دریافت قطعه"/>
    <s v="پاسخ با ایراد مشابه(عدم دریافت قطعه)"/>
    <n v="1"/>
    <s v="IK02625180"/>
    <s v="-"/>
    <s v="-"/>
    <s v="-"/>
    <x v="2"/>
    <s v="-"/>
    <s v="-"/>
    <s v="بسته شده"/>
    <s v="-"/>
    <s v="-"/>
  </r>
  <r>
    <n v="1"/>
    <s v="-"/>
    <n v="219133"/>
    <s v="1404/06/24"/>
    <s v="1404/06"/>
    <x v="5"/>
    <x v="1"/>
    <s v="جلو آمپر"/>
    <s v="جلو آمپر207  معمولی85 گانه SBR "/>
    <s v="ايراد عملكرد جلوآمپر(صداي  اضافه داخل آمپرو عدم عملكرد نگيني كمربند) رويت شد"/>
    <s v="عملکرد نگینی(لوگو)"/>
    <s v="-"/>
    <s v="-"/>
    <s v="-"/>
    <s v="-"/>
    <s v="-"/>
    <s v="-"/>
    <s v="-"/>
    <s v="-"/>
    <s v="-"/>
    <s v="عدم دریافت قطعه"/>
    <s v="عدم دریافت قطعه"/>
    <n v="2"/>
    <s v="IK02623780"/>
    <s v="-"/>
    <s v="-"/>
    <s v="-"/>
    <x v="2"/>
    <s v="-"/>
    <s v="-"/>
    <s v="عدم دریافت قطعه"/>
    <s v="-"/>
    <s v="-"/>
  </r>
  <r>
    <n v="1"/>
    <s v="-"/>
    <n v="219134"/>
    <s v="1404/06/24"/>
    <s v="1404/06"/>
    <x v="5"/>
    <x v="1"/>
    <s v="جلو آمپر"/>
    <s v="جلو آمپر تارا دستی SBR"/>
    <s v="ايرادي عملكردي جلوآمپر( عدم عملكرد عقربه دور موتور) رويت شد"/>
    <s v="عقربه"/>
    <s v="-"/>
    <s v="-"/>
    <s v="-"/>
    <s v="-"/>
    <s v="-"/>
    <s v="-"/>
    <s v="-"/>
    <s v="-"/>
    <s v="-"/>
    <s v="عدم دریافت قطعه"/>
    <s v="پاسخ با ایراد مشابه(عدم دریافت قطعه)"/>
    <n v="1"/>
    <s v="IK02623480"/>
    <s v="-"/>
    <s v="-"/>
    <s v="-"/>
    <x v="2"/>
    <s v="-"/>
    <s v="-"/>
    <s v="بسته شده"/>
    <s v="-"/>
    <s v="-"/>
  </r>
  <r>
    <n v="1"/>
    <s v="-"/>
    <n v="219285"/>
    <s v="1404/06/31"/>
    <s v="1404/06"/>
    <x v="5"/>
    <x v="1"/>
    <s v="جلو آمپر"/>
    <s v="جلو آمپرSOREN SBR"/>
    <s v="ايراد مورد بررسي قرار گرفت كه با پيكربندي مجدد و تعويض سنسور دنده عقب روي سپرعقب اصلاح نگرديدايراد مربوط به نرم افزار جلو آمپر 85 گانه سازه پويش مي باشد"/>
    <s v="عدم عملكرد ادوات برقي خودرو "/>
    <s v="-"/>
    <s v="-"/>
    <s v="-"/>
    <s v="-"/>
    <s v="-"/>
    <s v="-"/>
    <s v="-"/>
    <s v="-"/>
    <s v="-"/>
    <s v="باطل شده"/>
    <s v="باطل شده"/>
    <n v="60"/>
    <s v="IK02623380"/>
    <s v="-"/>
    <s v="-"/>
    <s v="-"/>
    <x v="2"/>
    <s v="-"/>
    <s v="-"/>
    <s v="باطل شده"/>
    <s v="-"/>
    <s v="-"/>
  </r>
  <r>
    <n v="1"/>
    <s v="-"/>
    <n v="219292"/>
    <s v="1404/06/26"/>
    <s v="1404/06"/>
    <x v="5"/>
    <x v="1"/>
    <s v="کلید شیشه بالابر"/>
    <s v="کلید شیشه بالابر جلو چپ دنا"/>
    <s v="ايراد مجموعه كليد شيشه بالابر درب جلو چپ، خودور دنا عملكرد نادرست تنظيم آينه (بطوريكه  سمت راننده جهت راست و سمت شاگرد جهت پايين پله پله مي شود گير دارد)- مرتبط با  شركت سازه پويش"/>
    <s v="عملکرد نادرست تنظیم آیینه"/>
    <s v="NOK"/>
    <s v="1404/07/10"/>
    <s v="-"/>
    <s v="-"/>
    <s v="-"/>
    <s v="-"/>
    <s v="عدم اتصال پلیت به برد"/>
    <s v="عدم اتصال پلیت به برد"/>
    <s v="پلیت"/>
    <s v="عدم اتصال پلیت به برد"/>
    <s v="اتصال نامناسب"/>
    <n v="1"/>
    <s v="IK014085DG"/>
    <s v="-"/>
    <s v="1404/07/10"/>
    <s v="کاظمی پور"/>
    <x v="0"/>
    <s v="-"/>
    <s v="-"/>
    <s v="بسته شده"/>
    <s v="-"/>
    <s v="-"/>
  </r>
  <r>
    <n v="1"/>
    <s v="-"/>
    <n v="219555"/>
    <s v="1404/06/31"/>
    <s v="1404/06"/>
    <x v="5"/>
    <x v="1"/>
    <s v="کلید شیشه بالابر"/>
    <s v="کلید شیشه بالابر جلو چپ دنا"/>
    <s v="ايراد مجموعه كليد شيشه بالابر درب جلو چپ، خودور دنا عملكرد نادرست ،بطوريكه تنظيم آينه  سمت راننده جهت چپ كار نمي كند (شكست گارانتي)- مرتبط با  شركت سازه پويش"/>
    <s v="عملکرد نادرست تنظیم آیینه"/>
    <s v="-"/>
    <s v="-"/>
    <s v="-"/>
    <s v="-"/>
    <s v="-"/>
    <s v="-"/>
    <s v="-"/>
    <s v="-"/>
    <s v="-"/>
    <s v="عدم دریافت قطعه"/>
    <s v="پاسخ با ایراد مشابه(عدم دریافت قطعه)"/>
    <n v="1"/>
    <s v="IK014085DG"/>
    <s v="-"/>
    <s v="-"/>
    <s v="-"/>
    <x v="2"/>
    <s v="-"/>
    <s v="-"/>
    <s v="بسته شده"/>
    <s v="-"/>
    <s v="-"/>
  </r>
  <r>
    <n v="1"/>
    <s v="-"/>
    <n v="219765"/>
    <s v="1404/07/05"/>
    <s v="1404/07"/>
    <x v="6"/>
    <x v="1"/>
    <s v="NOD"/>
    <s v="NBCM TARA SAL SBR"/>
    <s v="ايراد عملكرديNBCM(عملكرد نادرست هنگام استفاده ترمز دستي نشانگر درب موتور برروي مديا فعال ميشود) يك مورد رويت گرديد"/>
    <s v="عملکرد ناقص"/>
    <s v="NOK"/>
    <s v="1404/07/13"/>
    <s v="-"/>
    <s v="-"/>
    <s v="-"/>
    <s v="-"/>
    <s v="شارژ پایه ic micro بصورت دستی با هویه  جهت رفع اتصالی"/>
    <s v="اتصالی اهمی"/>
    <s v="IC میکرو"/>
    <s v="اتصالی"/>
    <s v="وجود روغن لحیم بر روی پایه های IC MICRO"/>
    <n v="1"/>
    <s v="IK02627480"/>
    <s v="-"/>
    <s v="1404/07/13"/>
    <s v="کاظمی پور"/>
    <x v="4"/>
    <s v="-"/>
    <s v="-"/>
    <s v="بسته شده"/>
    <s v="-"/>
    <s v="-"/>
  </r>
  <r>
    <n v="1"/>
    <s v="-"/>
    <n v="219837"/>
    <s v="1404/07/03"/>
    <s v="1404/07"/>
    <x v="6"/>
    <x v="1"/>
    <s v="جلو آمپر"/>
    <s v="جلو آمپر تارا دستی SBR"/>
    <s v="ايراد عملكرد جلوآمپر(  عملكردنادرست عقربه دور موتور لرزش دارد) رويت شد"/>
    <s v="عقربه"/>
    <s v="OK"/>
    <s v="1404/07/13"/>
    <s v="OK"/>
    <s v="1404/07/16"/>
    <s v="-"/>
    <s v="-"/>
    <s v="-"/>
    <s v="-"/>
    <s v="-"/>
    <s v="درحال بررسی"/>
    <s v="در حال بررسی"/>
    <n v="1"/>
    <s v="IK02623480"/>
    <s v="-"/>
    <s v="1404/07/13"/>
    <s v="کاظمی پور"/>
    <x v="2"/>
    <s v="-"/>
    <s v="-"/>
    <s v="بسته شده"/>
    <s v="-"/>
    <s v="-"/>
  </r>
  <r>
    <n v="1"/>
    <s v="-"/>
    <n v="219838"/>
    <s v="1404/07/03"/>
    <s v="1404/07"/>
    <x v="6"/>
    <x v="1"/>
    <s v="جلو آمپر"/>
    <s v="جلو آمپر تارا اتوماتیک SBR"/>
    <s v="ايراد عملكرد جلوآمپر( عدم عملكرد نگيني باتري) رويت شد"/>
    <s v="عملکرد نگینی(لوگو)"/>
    <s v="NOK"/>
    <s v="1404/07/13"/>
    <s v="-"/>
    <s v="-"/>
    <s v="-"/>
    <s v="-"/>
    <s v="ایراد مربوط به قطعه LED  می باشد"/>
    <s v="قطعه معیوب"/>
    <s v="LED"/>
    <s v="قطعه معیوب"/>
    <s v="ایراد در مواد اولیه "/>
    <n v="1"/>
    <s v="IK02623580"/>
    <s v="-"/>
    <s v="1404/07/13"/>
    <s v="کاظمی پور"/>
    <x v="1"/>
    <s v="-"/>
    <s v="-"/>
    <s v="بسته شده"/>
    <s v="-"/>
    <s v="-"/>
  </r>
  <r>
    <n v="1"/>
    <s v="-"/>
    <n v="219839"/>
    <s v="1404/07/03"/>
    <s v="1404/07"/>
    <x v="6"/>
    <x v="1"/>
    <s v="NOD"/>
    <s v="NBCM TARA SAL SBR"/>
    <s v="ايراد عملكرديNBCM(عملكرد نادرست ثبت اشتباه يا مغايرت IN خودرو) يك مورد رويت گرديد"/>
    <s v="عملکرد ناقص"/>
    <s v="NOK"/>
    <s v="1404/07/13"/>
    <s v="-"/>
    <s v="-"/>
    <s v="-"/>
    <s v="-"/>
    <s v="به دلیل نبود امکان تست و ریشه یابی در خط قابل بررسی نمی باشد"/>
    <s v="-"/>
    <s v="-"/>
    <s v="درحال بررسی"/>
    <s v="در حال بررسی"/>
    <n v="1"/>
    <s v="IK02627480"/>
    <s v="-"/>
    <s v="1404/07/13"/>
    <s v="کاظمی پور"/>
    <x v="2"/>
    <s v="-"/>
    <s v="-"/>
    <s v="بسته شده"/>
    <s v="-"/>
    <s v="-"/>
  </r>
  <r>
    <n v="1"/>
    <s v="-"/>
    <n v="219890"/>
    <s v="1404/07/05"/>
    <s v="1404/07"/>
    <x v="6"/>
    <x v="1"/>
    <s v="NOD"/>
    <s v="NBCM DENA SBR"/>
    <s v="ايراد عملكرد NBCM(عملكرد نادرست روشن ماندن نشانگرstop و باتري برروي نمايشگر پشت آمپر ) يك مورد رويت گرديد"/>
    <s v="عملکرد ناقص"/>
    <s v="NOK"/>
    <s v="1404/07/13"/>
    <s v="-"/>
    <s v="-"/>
    <s v="-"/>
    <s v="-"/>
    <s v="اتصالی مقاومت  4.7K"/>
    <s v="اتصالی"/>
    <s v="مقاومت  4.7K"/>
    <s v="اتصالی"/>
    <s v="اتصالی مقاومت  4.7K"/>
    <n v="1"/>
    <s v="IK02628880"/>
    <s v="-"/>
    <s v="1404/07/13"/>
    <s v="کاظمی پور"/>
    <x v="3"/>
    <s v="-"/>
    <s v="-"/>
    <s v="بسته شده"/>
    <s v="-"/>
    <s v="-"/>
  </r>
  <r>
    <n v="1"/>
    <s v="-"/>
    <n v="219976"/>
    <s v="1404/07/07"/>
    <s v="1404/07"/>
    <x v="6"/>
    <x v="1"/>
    <s v="جلو آمپر"/>
    <s v="جلو آمپرSOREN SBR"/>
    <s v="يراد صداي اضافي در تست جاده مربوط به دكمه هاي تنظيم روي كيلومتر شمار مي باشد"/>
    <s v="صداي غير عادي(کلید تریپ)"/>
    <s v="-"/>
    <s v="-"/>
    <s v="-"/>
    <s v="-"/>
    <s v="-"/>
    <s v="-"/>
    <s v="-"/>
    <s v="-"/>
    <s v="-"/>
    <s v="عدم دریافت قطعه"/>
    <s v="پاسخ با ایراد مشابه(عدم دریافت قطعه)"/>
    <n v="5"/>
    <s v="IK02623380"/>
    <s v="-"/>
    <s v="-"/>
    <s v="-"/>
    <x v="2"/>
    <s v="-"/>
    <s v="-"/>
    <s v="بسته شده"/>
    <s v="-"/>
    <s v="-"/>
  </r>
  <r>
    <n v="1"/>
    <s v="-"/>
    <n v="219984"/>
    <s v="1404/07/07"/>
    <s v="1404/07"/>
    <x v="6"/>
    <x v="1"/>
    <s v="MFD"/>
    <s v="MFD RUNNA"/>
    <s v="ايراد عدم نمايش نشانگر باز بودن درب جلو راست بر روي صفحه نمايشگر ديجيتالي بروز نموده است"/>
    <s v="LCD"/>
    <s v="-"/>
    <s v="-"/>
    <s v="-"/>
    <s v="-"/>
    <s v="-"/>
    <s v="-"/>
    <s v="-"/>
    <s v="-"/>
    <s v="-"/>
    <s v="عدم دریافت قطعه"/>
    <s v="پاسخ با ایراد مشابه(عدم دریافت قطعه)"/>
    <n v="1"/>
    <s v="IK00473280"/>
    <s v="-"/>
    <s v="-"/>
    <s v="-"/>
    <x v="2"/>
    <s v="-"/>
    <s v="-"/>
    <s v="بسته شده"/>
    <s v="-"/>
    <s v="-"/>
  </r>
  <r>
    <n v="1"/>
    <s v="-"/>
    <n v="220010"/>
    <s v="1404/07/07"/>
    <s v="1404/07"/>
    <x v="6"/>
    <x v="1"/>
    <s v="جلو آمپر"/>
    <s v="جلو آمپرSOREN SBR"/>
    <s v="صداي اضافي از اهرم تثبيت كننده جلو آمپر در تست جاده_ايراد به روئيت نماينده ساپكو رسيده است."/>
    <s v="صداي غير عادي(کلید تریپ)"/>
    <s v="-"/>
    <s v="-"/>
    <s v="-"/>
    <s v="-"/>
    <s v="-"/>
    <s v="-"/>
    <s v="-"/>
    <s v="-"/>
    <s v="-"/>
    <s v="عدم دریافت قطعه"/>
    <s v="پاسخ با ایراد مشابه(عدم دریافت قطعه)"/>
    <n v="4"/>
    <s v="IK02623380"/>
    <s v="-"/>
    <s v="-"/>
    <s v="-"/>
    <x v="2"/>
    <s v="-"/>
    <s v="-"/>
    <s v="بسته شده"/>
    <s v="-"/>
    <s v="-"/>
  </r>
  <r>
    <n v="1"/>
    <s v="-"/>
    <n v="220108"/>
    <s v="1404/07/08"/>
    <s v="1404/07"/>
    <x v="6"/>
    <x v="1"/>
    <s v="جلو آمپر"/>
    <s v="جلو آمپرSOREN SBR"/>
    <s v="ايراد مغايرت صفحه نمايشگر جلو آمپر در وضعيت دنده عقب. ايراد به روئيت نماينده ساپكو رسيد."/>
    <s v="LCD"/>
    <s v="-"/>
    <s v="-"/>
    <s v="-"/>
    <s v="-"/>
    <s v="-"/>
    <s v="-"/>
    <s v="-"/>
    <s v="-"/>
    <s v="-"/>
    <s v="عدم دریافت قطعه"/>
    <s v="پاسخ با ایراد مشابه(عدم دریافت قطعه)"/>
    <n v="20"/>
    <s v="IK02623380"/>
    <s v="-"/>
    <s v="-"/>
    <s v="-"/>
    <x v="2"/>
    <s v="-"/>
    <s v="-"/>
    <s v="بسته شده"/>
    <s v="-"/>
    <s v="-"/>
  </r>
  <r>
    <n v="1"/>
    <s v="-"/>
    <n v="220194"/>
    <s v="1404/07/09"/>
    <s v="1404/07"/>
    <x v="6"/>
    <x v="1"/>
    <s v="جلو آمپر"/>
    <s v="جلو آمپر تارا اتوماتیک SBR"/>
    <s v="ايراد عملكرد جلوآمپر( عدم عملكرد كامل جلو آمپر) رويت شد"/>
    <s v="عدم عملكرد كامل"/>
    <s v="-"/>
    <s v="-"/>
    <s v="-"/>
    <s v="-"/>
    <s v="-"/>
    <s v="-"/>
    <s v="-"/>
    <s v="-"/>
    <s v="-"/>
    <s v="عدم دریافت قطعه"/>
    <s v="پاسخ با ایراد مشابه(عدم دریافت قطعه)"/>
    <n v="1"/>
    <s v="IK02623580"/>
    <s v="-"/>
    <s v="-"/>
    <s v="-"/>
    <x v="2"/>
    <s v="-"/>
    <s v="-"/>
    <s v="بسته شده"/>
    <s v="-"/>
    <s v="-"/>
  </r>
  <r>
    <n v="1"/>
    <s v="-"/>
    <n v="220523"/>
    <s v="1404/07/16"/>
    <s v="1404/07"/>
    <x v="6"/>
    <x v="1"/>
    <s v="NOD"/>
    <s v="NBCM TARA SAL SBR"/>
    <s v="ايراد عملكرديNBCM(عملكرد نادرست برف پاكن  لحظه اي عملكرد دارد) يك مورد رويت گرديد"/>
    <s v="عملكرد نادرست  برف پاک کن"/>
    <s v="-"/>
    <s v="-"/>
    <s v="-"/>
    <s v="-"/>
    <s v="-"/>
    <s v="-"/>
    <s v="-"/>
    <s v="-"/>
    <s v="-"/>
    <s v="عدم دریافت قطعه"/>
    <s v="پاسخ با ایراد مشابه(عدم دریافت قطعه)"/>
    <n v="1"/>
    <s v="IK02627480"/>
    <s v="-"/>
    <s v="-"/>
    <s v="-"/>
    <x v="2"/>
    <s v="-"/>
    <s v="-"/>
    <s v="بسته شده"/>
    <s v="-"/>
    <s v="-"/>
  </r>
  <r>
    <n v="1"/>
    <s v="-"/>
    <n v="220815"/>
    <s v="1404/07/20"/>
    <s v="1404/07"/>
    <x v="6"/>
    <x v="1"/>
    <s v="کلید شیشه بالابر"/>
    <s v="کلید شیشه بالابرعقب 207"/>
    <s v="ايراد كليد شيشه بالابر عقب خودروي پژو 207؛بطوريكه خرابي ظاهري يا آسيب ديدگي روي بزل مشاهده مي شود . مرتبط با  شركت سازه پويش"/>
    <s v="ایراد ظاهری"/>
    <s v="-"/>
    <s v="-"/>
    <s v="-"/>
    <s v="-"/>
    <s v="-"/>
    <s v="-"/>
    <s v="-"/>
    <s v="-"/>
    <s v="-"/>
    <s v="عدم دریافت قطعه"/>
    <s v="پاسخ با ایراد مشابه(عدم دریافت قطعه)"/>
    <n v="12"/>
    <s v="96327905XT"/>
    <s v="-"/>
    <s v="-"/>
    <s v="-"/>
    <x v="2"/>
    <s v="-"/>
    <s v="-"/>
    <s v="بسته شده"/>
    <s v="-"/>
    <s v="-"/>
  </r>
  <r>
    <n v="1"/>
    <s v="-"/>
    <n v="220857"/>
    <s v="1404/07/21"/>
    <s v="1404/07"/>
    <x v="6"/>
    <x v="1"/>
    <s v="NOD"/>
    <s v="SBM 207 SBR"/>
    <s v="ايراد ظاهريBCM(شكستگي پايه براكت)  رويت گرديد"/>
    <s v="ایراد ظاهری"/>
    <s v="-"/>
    <s v="-"/>
    <s v="-"/>
    <s v="-"/>
    <s v="-"/>
    <s v="-"/>
    <s v="-"/>
    <s v="-"/>
    <s v="-"/>
    <s v="عدم دریافت قطعه"/>
    <s v="عدم دریافت قطعه"/>
    <n v="17"/>
    <s v="IK02627780"/>
    <s v="-"/>
    <s v="-"/>
    <s v="-"/>
    <x v="2"/>
    <s v="-"/>
    <s v="-"/>
    <s v="عدم دریافت قطعه"/>
    <s v="-"/>
    <s v="-"/>
  </r>
  <r>
    <n v="1"/>
    <s v="-"/>
    <n v="220954"/>
    <s v="1404/07/22"/>
    <s v="1404/07"/>
    <x v="6"/>
    <x v="1"/>
    <s v="NOD"/>
    <s v="NBCM TARA SAL SBR"/>
    <s v="ايراد عملكردي NBCM (عملكرد نادرست چراغ عقب چپ چشمك ميزند) خودرو و ايراد به رويت آقاي فيروزي رسانده شد."/>
    <s v="عدم عملكرد ادوات برقي خودرو "/>
    <s v="-"/>
    <s v="-"/>
    <s v="-"/>
    <s v="-"/>
    <s v="-"/>
    <s v="-"/>
    <s v="-"/>
    <s v="-"/>
    <s v="-"/>
    <s v="عدم دریافت قطعه"/>
    <s v="عدم دریافت قطعه"/>
    <n v="1"/>
    <s v="IK02627480"/>
    <s v="-"/>
    <s v="-"/>
    <s v="-"/>
    <x v="2"/>
    <s v="-"/>
    <s v="-"/>
    <s v="عدم دریافت قطعه"/>
    <s v="-"/>
    <s v="-"/>
  </r>
  <r>
    <n v="1"/>
    <s v="-"/>
    <n v="220974"/>
    <s v="1404/07/22"/>
    <s v="1404/07"/>
    <x v="6"/>
    <x v="1"/>
    <s v="جلو آمپر"/>
    <s v="جلو آمپر تارا اتوماتیک SBR"/>
    <s v="ايراد عملكرد جلوآمپر(عملكرد نادرست عقربه دور موتور) رويت شد"/>
    <s v="عقربه"/>
    <s v="-"/>
    <s v="-"/>
    <s v="-"/>
    <s v="-"/>
    <s v="-"/>
    <s v="-"/>
    <s v="-"/>
    <s v="-"/>
    <s v="-"/>
    <s v="عدم دریافت قطعه"/>
    <s v="عدم دریافت قطعه"/>
    <n v="1"/>
    <s v="IK02623580"/>
    <s v="-"/>
    <s v="-"/>
    <s v="-"/>
    <x v="2"/>
    <s v="-"/>
    <s v="-"/>
    <s v="عدم دریافت قطعه"/>
    <s v="-"/>
    <s v="-"/>
  </r>
  <r>
    <n v="1"/>
    <s v="-"/>
    <n v="221088"/>
    <s v="1404/07/24"/>
    <s v="1404/07"/>
    <x v="6"/>
    <x v="1"/>
    <s v="کلید شیشه بالابر"/>
    <s v="کلید شیشه بالابرعقب 207"/>
    <s v="ايراد كليد شيشه بالابر عقب خودروي پژو 207؛بطوريكه شيشه بالابر راست در دو حالت بالاو پايين عملكرد ندارد و چراغ هيدلايت روي شستي كليد روشن نمي شود. مرتبط با  شركت سازه پويش"/>
    <s v="عدم عملكرد كامل"/>
    <s v="-"/>
    <s v="-"/>
    <s v="-"/>
    <s v="-"/>
    <s v="-"/>
    <s v="-"/>
    <s v="-"/>
    <s v="-"/>
    <s v="-"/>
    <s v="عدم دریافت قطعه"/>
    <s v="پاسخ با ایراد مشابه(عدم دریافت قطعه)"/>
    <n v="3"/>
    <s v="96327905XT"/>
    <s v="-"/>
    <s v="-"/>
    <s v="-"/>
    <x v="2"/>
    <s v="-"/>
    <s v="-"/>
    <s v="بسته شده"/>
    <s v="-"/>
    <s v="-"/>
  </r>
  <r>
    <n v="1"/>
    <s v="-"/>
    <n v="221245"/>
    <s v="1404/07/28"/>
    <s v="1404/07"/>
    <x v="6"/>
    <x v="1"/>
    <s v="جلو آمپر"/>
    <s v="جلو آمپر تارا دستی SBR"/>
    <s v="ايراد عملكرد جلوآمپر(عملكرد نادرست عقربه دور موتورلرزش و گير كردن در حركت اوليه) رويت شد"/>
    <s v="عقربه"/>
    <s v="-"/>
    <s v="-"/>
    <s v="-"/>
    <s v="-"/>
    <s v="-"/>
    <s v="-"/>
    <s v="-"/>
    <s v="-"/>
    <s v="-"/>
    <s v="عدم دریافت قطعه"/>
    <s v="پاسخ با ایراد مشابه(عدم دریافت قطعه)"/>
    <n v="1"/>
    <s v="IK02623480"/>
    <s v="-"/>
    <s v="-"/>
    <s v="-"/>
    <x v="2"/>
    <s v="-"/>
    <s v="-"/>
    <s v="بسته شده"/>
    <s v="-"/>
    <s v="-"/>
  </r>
  <r>
    <n v="1"/>
    <s v="-"/>
    <n v="221357"/>
    <s v="1404/07/30"/>
    <s v="1404/07"/>
    <x v="6"/>
    <x v="1"/>
    <s v="NOD"/>
    <s v="SBM 207 SBR"/>
    <s v="ايراد عملكردي BCM (صداي بازر راهنما و دنده عقب قطع ) رويت گرديد"/>
    <s v="عدم اعلام  اخطار  هشدار(بازر)"/>
    <s v="NOK"/>
    <s v="1404/09/11"/>
    <s v="-"/>
    <s v="-"/>
    <s v="-"/>
    <s v="-"/>
    <s v="-"/>
    <s v="-"/>
    <s v="ترک قلع و کمبود قلع پایه"/>
    <s v="عدم دقت اپراتور شارژ و بازرس کنترل چشمی در تشخیص ایراد"/>
    <s v="فوران ناقص"/>
    <n v="1"/>
    <s v="IK02627780"/>
    <s v="-"/>
    <s v="1404/09/11"/>
    <s v="کاظمی پور"/>
    <x v="3"/>
    <s v="وان قلع"/>
    <s v="محرمعلی سبزی/مهدی کاهدی"/>
    <s v="بسته شده"/>
    <s v="-"/>
    <s v="-"/>
  </r>
  <r>
    <n v="1"/>
    <s v="-"/>
    <n v="221361"/>
    <s v="1404/08/01"/>
    <s v="1404/08"/>
    <x v="7"/>
    <x v="1"/>
    <s v="جلو آمپر"/>
    <s v="جلو آمپرSOREN SBR"/>
    <s v="ايراد پليسه گيري نامناسب لبه قاب مجموعه جلو آمپر مشاهده شده داخل بسته بندي"/>
    <s v="ایراد ظاهری"/>
    <s v="-"/>
    <s v="-"/>
    <s v="-"/>
    <s v="-"/>
    <s v="-"/>
    <s v="-"/>
    <s v="-"/>
    <s v="-"/>
    <s v="-"/>
    <s v="عدم دریافت قطعه"/>
    <s v="پاسخ با ایراد مشابه(عدم دریافت قطعه)"/>
    <n v="10"/>
    <s v="IK02623380"/>
    <s v="-"/>
    <s v="-"/>
    <s v="-"/>
    <x v="2"/>
    <s v="-"/>
    <s v="-"/>
    <s v="بسته شده"/>
    <s v="-"/>
    <s v="-"/>
  </r>
  <r>
    <n v="1"/>
    <s v="-"/>
    <n v="221366"/>
    <s v="1404/07/30"/>
    <s v="1404/07"/>
    <x v="6"/>
    <x v="1"/>
    <s v="کلید شیشه بالابر"/>
    <s v="کلید شیشه بالابرعقب 207"/>
    <s v="ايراد كليد شيشه بالابر عقب خودروي پژو 207؛بطوريكه شيشه بالابر چپ در دو حالت بالاو پايين عملكرد ندارد . مرتبط با  شركت سازه پويش"/>
    <s v="عدم عملكرد كامل"/>
    <s v="NOK"/>
    <s v="1404/08/13"/>
    <s v="-"/>
    <s v="-"/>
    <s v="-"/>
    <s v="-"/>
    <s v="عدم قلع کاری 4 پایه از 5 پایه"/>
    <s v="نبود قلع"/>
    <s v="کلید"/>
    <s v="نبود قلع"/>
    <s v="نبود قلع بر روی پایه ها"/>
    <n v="1"/>
    <s v="96327905XT"/>
    <s v="-"/>
    <s v="1404/08/13"/>
    <s v="کاظمی پور"/>
    <x v="4"/>
    <s v="-"/>
    <s v=" غزال ساکی"/>
    <s v="بسته شده"/>
    <s v="-"/>
    <s v="عکس"/>
  </r>
  <r>
    <n v="1"/>
    <s v="-"/>
    <n v="221453"/>
    <s v="1404/08/03"/>
    <s v="1404/08"/>
    <x v="7"/>
    <x v="1"/>
    <s v="NOD"/>
    <s v="NBCM TARA SAL SBR"/>
    <s v="ايراد عملكردي NBCM (صداي بازر راهنما و دنده عقب قطع ) رويت گرديد"/>
    <s v="عدم اعلام  اخطار  هشدار(بازر)"/>
    <s v="NOK"/>
    <s v="1404/08/13"/>
    <s v="-"/>
    <s v="-"/>
    <s v="-"/>
    <s v="-"/>
    <s v="-"/>
    <s v="-"/>
    <s v="قطعه بازر معیوب"/>
    <s v="بازر"/>
    <s v="ایراد در مواد اولیه "/>
    <n v="1"/>
    <s v="IK02627480"/>
    <s v="-"/>
    <s v="1404/08/13"/>
    <s v="کاظمی پور"/>
    <x v="1"/>
    <s v="-"/>
    <s v="-"/>
    <s v="درحال بررسی"/>
    <s v="-"/>
    <s v="-"/>
  </r>
  <r>
    <n v="1"/>
    <s v="-"/>
    <n v="221701"/>
    <s v="1404/08/06"/>
    <s v="1404/08"/>
    <x v="7"/>
    <x v="1"/>
    <s v="NOD"/>
    <s v="SBM 207 SBR"/>
    <s v="ايراد عملكردي BCM (عملكرد نادرست برف پاك كن  يكسره ) رويت گرديد"/>
    <s v="عملكرد نادرست  برف پاک کن"/>
    <s v="OK"/>
    <s v="1404/08/28"/>
    <s v="OK"/>
    <s v="1404/09/10"/>
    <s v="-"/>
    <s v="-"/>
    <s v="-"/>
    <s v="-"/>
    <s v="-"/>
    <s v="موردی مشاهده نشد"/>
    <s v="موردی مشاهده نشد"/>
    <n v="1"/>
    <s v="IK02627780"/>
    <s v="-"/>
    <s v="1404/08/28"/>
    <s v="کاظمی پور"/>
    <x v="2"/>
    <s v="-"/>
    <s v="-"/>
    <s v="عدم دریافت قطعه"/>
    <s v="-"/>
    <s v="-"/>
  </r>
  <r>
    <n v="1"/>
    <s v="-"/>
    <n v="221702"/>
    <s v="1404/08/06"/>
    <s v="1404/08"/>
    <x v="7"/>
    <x v="1"/>
    <s v="جلو آمپر"/>
    <s v="جلو آمپر تارا دستی SBR"/>
    <s v="ايراد عملكرد جلوآمپر(عدم عملكرد صفحه نمايشگر  ) رويت شد"/>
    <s v="LCD"/>
    <s v="-"/>
    <s v="-"/>
    <s v="-"/>
    <s v="-"/>
    <s v="-"/>
    <s v="-"/>
    <s v="-"/>
    <s v="-"/>
    <s v="-"/>
    <s v="عدم دریافت قطعه"/>
    <s v="عدم دریافت قطعه"/>
    <n v="1"/>
    <s v="IK02623480"/>
    <s v="-"/>
    <s v="-"/>
    <s v="-"/>
    <x v="2"/>
    <s v="-"/>
    <s v="-"/>
    <s v="عدم دریافت قطعه"/>
    <s v="-"/>
    <s v="-"/>
  </r>
  <r>
    <n v="1"/>
    <s v="-"/>
    <n v="221907"/>
    <s v="1404/08/10"/>
    <s v="1404/08"/>
    <x v="7"/>
    <x v="1"/>
    <s v="کلید شیشه بالابر"/>
    <s v="کلید شیشه بالابر جلو چپ دنا"/>
    <s v="ايراد مجموعه كليد شيشه بالابر درب جلو چپ، خودور دنا عدم عملكرد كليد جوي استيك (بطوريكه فولدآنفولد و تنظيم آينه هر دو سمت كار نمي كند)- مرتبط با  شركت سازه پويش"/>
    <s v="عملکرد نادرست تنظیم آیینه"/>
    <s v="NOK"/>
    <s v="1404/08/28"/>
    <s v="-"/>
    <s v="-"/>
    <s v="-"/>
    <s v="-"/>
    <s v="-"/>
    <s v="مونتاژ نادرست "/>
    <s v="مونتاژ نادرست  قطعه"/>
    <s v="ساپورت شفت"/>
    <s v="مونتاژ نادرست  قطعه"/>
    <n v="1"/>
    <s v="IK014085DG"/>
    <s v="-"/>
    <s v="1404/08/28"/>
    <s v="کاظمی پور"/>
    <x v="4"/>
    <s v="-"/>
    <s v="نامشخص"/>
    <s v="بسته شده"/>
    <s v="-"/>
    <s v="-"/>
  </r>
  <r>
    <n v="1"/>
    <s v="-"/>
    <n v="222120"/>
    <s v="1404/08/17"/>
    <s v="1404/08"/>
    <x v="7"/>
    <x v="1"/>
    <s v="کلید شیشه بالابر"/>
    <s v="کلید شیشه بالابر جلو راست سورن"/>
    <s v="طي بررسي ايراد پليسه گيري نامطلوب قاب كليد شيشه بالابر جلو راست سورن آديت نهايي سايت تبريز مشخص  شد :  وجود پليسه و تيزي لبه بر روي قاب كليد شيشه بالابر (دستگيره مچي) جلو راست سورن ، مرتبط با ايراد كيفي قطعه  مي باشد ."/>
    <s v="ایراد ظاهری"/>
    <s v="-"/>
    <s v="-"/>
    <s v="-"/>
    <s v="-"/>
    <s v="-"/>
    <s v="-"/>
    <s v="-"/>
    <s v="-"/>
    <s v="-"/>
    <s v="عدم دریافت قطعه"/>
    <s v="عدم دریافت قطعه"/>
    <n v="1"/>
    <s v="IK016269PB"/>
    <s v="-"/>
    <s v="-"/>
    <s v="-"/>
    <x v="2"/>
    <s v="-"/>
    <s v="-"/>
    <s v="عدم دریافت قطعه"/>
    <s v="-"/>
    <s v="-"/>
  </r>
  <r>
    <n v="1"/>
    <s v="-"/>
    <n v="222129"/>
    <s v="1404/08/14"/>
    <s v="1404/08"/>
    <x v="7"/>
    <x v="1"/>
    <s v="NOD"/>
    <s v="SBM 207 SBR"/>
    <s v="ايراد عملكردي BCM (عدم عملكردبالابر جلو چپ عملكرد پايين ندارد ) رويت گرديد"/>
    <s v="عدم عملكرد ادوات برقي خودرو "/>
    <s v="NOK"/>
    <s v="1404/08/28"/>
    <s v="-"/>
    <s v="-"/>
    <s v="-"/>
    <s v="-"/>
    <s v="-"/>
    <s v="قطعی مسیر"/>
    <s v="برد"/>
    <s v="قطعی مسیر"/>
    <s v="در حال بررسی"/>
    <n v="1"/>
    <s v="IK02627780"/>
    <s v="-"/>
    <s v="1404/08/28"/>
    <s v="کاظمی پور"/>
    <x v="2"/>
    <s v="-"/>
    <s v="-"/>
    <s v="بسته شده"/>
    <s v="-"/>
    <s v="-"/>
  </r>
  <r>
    <n v="1"/>
    <s v="-"/>
    <n v="222256"/>
    <s v="1404/08/17"/>
    <s v="1404/08"/>
    <x v="7"/>
    <x v="1"/>
    <s v="NOD"/>
    <s v="NBCM TARA SAL SBR"/>
    <s v="ايراد ارسال اشتباه NBCM (دو نمونه قطعه NBCMخودرو دنا اشتباه در محموله هاي ارسالي قطعات تارا ) رويت گرديد"/>
    <s v="ارسال اشتباه ( مدل يا نوع )"/>
    <s v="NOK"/>
    <s v="1404/08/28"/>
    <s v="-"/>
    <s v="-"/>
    <s v="-"/>
    <s v="-"/>
    <s v="-"/>
    <s v="اشتباه اپراتور بسته بندی"/>
    <s v="-"/>
    <s v="اشتباه اپراتور بسته بندی"/>
    <s v="اشتباه اپراتور بسته بندی"/>
    <n v="2"/>
    <s v="IK02627480"/>
    <s v="-"/>
    <s v="1404/08/28"/>
    <s v="کاظمی پور"/>
    <x v="4"/>
    <s v="-"/>
    <s v="سعید زارعی"/>
    <s v="درحال بررسی"/>
    <s v="-"/>
    <s v="-"/>
  </r>
  <r>
    <n v="1"/>
    <s v="-"/>
    <n v="222386"/>
    <s v="1404/08/19"/>
    <s v="1404/08"/>
    <x v="7"/>
    <x v="1"/>
    <s v="NOD"/>
    <s v="NBCM TARA SAL SBR"/>
    <s v="ايرادعملكردي NBCM (عملكرد نشانگرميكرو سويئچ درب عقب چپ برروي مديا يكسره باز  ) رويت گرديد"/>
    <s v="عدم عملكرد ادوات برقي خودرو "/>
    <s v="NOK"/>
    <s v="1404/09/11"/>
    <s v="-"/>
    <s v="-"/>
    <s v="-"/>
    <s v="-"/>
    <s v="-"/>
    <s v="-"/>
    <s v="قطعه معیوب"/>
    <s v="کانکتور"/>
    <s v="پلیسه کانکتور"/>
    <n v="1"/>
    <s v="IK02627480"/>
    <s v="-"/>
    <s v="1404/09/11"/>
    <s v="کاظمی پور"/>
    <x v="1"/>
    <s v="-"/>
    <s v="-"/>
    <s v="درحال بررسی"/>
    <s v="-"/>
    <s v="-"/>
  </r>
  <r>
    <n v="1"/>
    <s v="-"/>
    <n v="222434"/>
    <s v="1404/08/20"/>
    <s v="1404/08"/>
    <x v="7"/>
    <x v="1"/>
    <s v="کلید شیشه بالابر"/>
    <s v="کلید شیشه بالابر عقب چپ سورن SBR "/>
    <s v="ايراد عدم عملكرد شيشه بالابر در عقب چپ به دليل انحراف پايه سوكت داخل پنل كليد شيشه بالابر بروز نموده است"/>
    <s v="عدم عملكرد كامل"/>
    <s v="-"/>
    <s v="-"/>
    <s v="-"/>
    <s v="-"/>
    <s v="-"/>
    <s v="-"/>
    <s v="-"/>
    <s v="-"/>
    <s v="-"/>
    <s v="عدم دریافت قطعه"/>
    <s v="پاسخ با ایراد مشابه(عدم دریافت قطعه)"/>
    <n v="1"/>
    <s v="IK026729PB"/>
    <s v="-"/>
    <s v="-"/>
    <s v="-"/>
    <x v="2"/>
    <s v="-"/>
    <s v="-"/>
    <s v="بسته شده"/>
    <s v="-"/>
    <s v="-"/>
  </r>
  <r>
    <n v="1"/>
    <s v="-"/>
    <n v="222739"/>
    <s v="1404/08/26"/>
    <s v="1404/08"/>
    <x v="7"/>
    <x v="1"/>
    <s v="کلید شیشه بالابر"/>
    <s v="کلید شیشه بالابر عقب چپ سورن SBR "/>
    <s v="ايراد دفرمگي و موجدار بودن قسمت براق قاب كليد شيشه بالابر در عقب چپ مربوط به سازنده مي باشد"/>
    <s v="ایراد ظاهری"/>
    <s v="-"/>
    <s v="-"/>
    <s v="-"/>
    <s v="-"/>
    <s v="-"/>
    <s v="-"/>
    <s v="-"/>
    <s v="-"/>
    <s v="-"/>
    <s v="عدم دریافت قطعه"/>
    <s v="عدم دریافت قطعه"/>
    <n v="3"/>
    <s v="IK026729PB"/>
    <s v="-"/>
    <s v="-"/>
    <s v="-"/>
    <x v="2"/>
    <s v="-"/>
    <s v="-"/>
    <s v="عدم دریافت قطعه"/>
    <s v="-"/>
    <s v="-"/>
  </r>
  <r>
    <n v="1"/>
    <s v="-"/>
    <n v="222741"/>
    <s v="1404/08/26"/>
    <s v="1404/08"/>
    <x v="7"/>
    <x v="1"/>
    <s v="کلید شیشه بالابر"/>
    <s v="کلید شیشه بالابر عقب چپ سورن SBR "/>
    <s v="ايراد پليسه گيري نامطلوب قاب كليد شيشه بالابر در عقب چپ."/>
    <s v="ایراد ظاهری"/>
    <s v="-"/>
    <s v="-"/>
    <s v="-"/>
    <s v="-"/>
    <s v="-"/>
    <s v="-"/>
    <s v="-"/>
    <s v="-"/>
    <s v="-"/>
    <s v="عدم دریافت قطعه"/>
    <s v="عدم دریافت قطعه"/>
    <n v="3"/>
    <s v="IK026729PB"/>
    <s v="-"/>
    <s v="-"/>
    <s v="-"/>
    <x v="2"/>
    <s v="-"/>
    <s v="-"/>
    <s v="عدم دریافت قطعه"/>
    <s v="-"/>
    <s v="-"/>
  </r>
  <r>
    <n v="1"/>
    <s v="-"/>
    <n v="222848"/>
    <s v="1404/08/26"/>
    <s v="1404/08"/>
    <x v="7"/>
    <x v="1"/>
    <s v="جلو آمپر"/>
    <s v="جلو آمپر دنا اتوماتیک SBR"/>
    <s v="ايراد عملكرد جلوآمپر( اتصالي پشت آمپر و بك لايت) رويت شد"/>
    <s v="قطع و وصل پشت آمپر"/>
    <s v="OK"/>
    <s v="1404/09/11"/>
    <s v="OK"/>
    <s v="1404/09/18"/>
    <s v="-"/>
    <s v="-"/>
    <s v="-"/>
    <s v="-"/>
    <s v="قطعه معیوب"/>
    <s v="کانکتور"/>
    <s v="پلیسه کانکتور"/>
    <n v="1"/>
    <s v="IK02625280"/>
    <s v="-"/>
    <s v="1404/09/11"/>
    <s v="کاظمی پور"/>
    <x v="1"/>
    <s v="-"/>
    <s v="-"/>
    <s v="درحال بررسی"/>
    <s v="-"/>
    <s v="-"/>
  </r>
  <r>
    <n v="1"/>
    <s v="-"/>
    <n v="222892"/>
    <s v="1404/08/28"/>
    <s v="1404/08"/>
    <x v="7"/>
    <x v="1"/>
    <s v="NOD"/>
    <s v="SBM SOREN SBR"/>
    <s v="روشن ماندن دائم چراغ هاي جلو در حالت نور بالا به علت معيوب بودن CBM شركت سازنده سازه پويش - ايراد به رويت آقاي كشاورز رسيده است."/>
    <s v="عملکرد یکسره ادوات برقی"/>
    <s v="-"/>
    <s v="-"/>
    <s v="-"/>
    <s v="-"/>
    <s v="-"/>
    <s v="-"/>
    <s v="-"/>
    <s v="-"/>
    <s v="-"/>
    <s v="عدم دریافت قطعه"/>
    <s v="عدم دریافت قطعه"/>
    <n v="1"/>
    <s v="IK02626980"/>
    <s v="-"/>
    <s v="-"/>
    <s v="-"/>
    <x v="2"/>
    <s v="-"/>
    <s v="-"/>
    <s v="عدم دریافت قطعه"/>
    <s v="-"/>
    <s v="-"/>
  </r>
  <r>
    <n v="1"/>
    <s v="-"/>
    <n v="223094"/>
    <s v="1404/09/01"/>
    <s v="1404/09"/>
    <x v="8"/>
    <x v="1"/>
    <s v="کلید شیشه بالابر"/>
    <s v="کلید شیشه بالابر عقب راست سورن SBR "/>
    <s v="خراش دستگيره مچي عقب راست"/>
    <s v="ایراد ظاهری"/>
    <s v="-"/>
    <s v="-"/>
    <s v="-"/>
    <s v="-"/>
    <s v="-"/>
    <s v="-"/>
    <s v="-"/>
    <s v="-"/>
    <s v="-"/>
    <s v="عدم دریافت قطعه"/>
    <s v="عدم دریافت قطعه"/>
    <n v="10"/>
    <s v="IK026730PB"/>
    <s v="-"/>
    <s v="-"/>
    <s v="-"/>
    <x v="2"/>
    <s v="-"/>
    <s v="-"/>
    <s v="عدم دریافت قطعه"/>
    <s v="-"/>
    <s v="-"/>
  </r>
  <r>
    <n v="1"/>
    <s v="-"/>
    <n v="223129"/>
    <s v="1404/09/02"/>
    <s v="1404/09"/>
    <x v="8"/>
    <x v="1"/>
    <s v="جلو آمپر"/>
    <s v="جلو آمپر دنا SBR"/>
    <s v="ايراد عملكرد جلوآمپر(عدم عملكرد اهرم تنظيم نور)  يك نمونه رويت شد"/>
    <s v="کلید تریپ"/>
    <s v="NOK"/>
    <s v="1404/09/11"/>
    <s v="-"/>
    <s v="-"/>
    <s v="-"/>
    <s v="-"/>
    <s v="-"/>
    <m/>
    <s v="قطعه  معیوب"/>
    <s v="میکروسوییچ"/>
    <s v="ایراد در مواد اولیه "/>
    <n v="1"/>
    <s v="IK02625180"/>
    <s v="-"/>
    <s v="1404/09/11"/>
    <s v="کاظمی پور"/>
    <x v="1"/>
    <s v="-"/>
    <s v="-"/>
    <s v="درحال بررسی"/>
    <s v="ارسال برای تامین کننده"/>
    <s v="-"/>
  </r>
  <r>
    <n v="1"/>
    <s v="-"/>
    <n v="223186"/>
    <s v="1404/09/04"/>
    <s v="1404/09"/>
    <x v="8"/>
    <x v="1"/>
    <s v="جلو آمپر"/>
    <s v="جلو آمپر تارا دستی SBR"/>
    <s v="ايراد عملكرد جلوآمپر(مغايرت رنگ نگيني دربها زرد رنگ ) رويت شد"/>
    <s v="عملکرد نگینی(لوگو)"/>
    <s v="NOK"/>
    <s v="1404/09/11"/>
    <s v="-"/>
    <s v="-"/>
    <s v="-"/>
    <s v="-"/>
    <s v="-"/>
    <s v="-"/>
    <s v="مونتاژ اشتباه  قطعه"/>
    <s v="LED"/>
    <s v="مونتاژ اشتباه  قطعه"/>
    <n v="1"/>
    <s v="IK02623480"/>
    <s v="-"/>
    <s v="1404/09/11"/>
    <s v="کاظمی پور"/>
    <x v="3"/>
    <s v="Chip Mounting خط 2"/>
    <s v="-"/>
    <s v="درحال بررسی"/>
    <s v="-"/>
    <s v="-"/>
  </r>
  <r>
    <n v="1"/>
    <s v="-"/>
    <n v="223253"/>
    <s v="1404/09/05"/>
    <s v="1404/09"/>
    <x v="8"/>
    <x v="1"/>
    <s v="NOD"/>
    <s v="NBCM TARA SAL SBR"/>
    <s v="ايرادعملكردي NBCM (عدم عملكرد بازر : صداي هشدار رهنما ودنده عقب ) رويت گرديد"/>
    <s v="عدم اعلام  اخطار  هشدار(بازر)"/>
    <s v="NOK"/>
    <s v="1404/09/19"/>
    <s v="-"/>
    <s v="-"/>
    <s v="-"/>
    <s v="-"/>
    <s v="-"/>
    <s v="-"/>
    <s v="قطعه معیوب"/>
    <s v="بازر"/>
    <s v="جدا شدن پایه بازر"/>
    <n v="1"/>
    <s v="IK02627480"/>
    <s v="-"/>
    <s v="1404/09/19"/>
    <s v="کاظمی پور"/>
    <x v="1"/>
    <s v="-"/>
    <s v="-"/>
    <s v="درحال بررسی"/>
    <s v="-"/>
    <s v="-"/>
  </r>
  <r>
    <n v="1"/>
    <s v="-"/>
    <n v="223400"/>
    <s v="1404/09/08"/>
    <s v="1404/09"/>
    <x v="8"/>
    <x v="1"/>
    <s v="جلو آمپر"/>
    <s v="جلو آمپر207 اتوماتیک85 گانه SBR"/>
    <s v="ايراد عملكرد جلوآمپر( عدم عملكرد) رويت شد"/>
    <s v="عدم عملكرد كامل"/>
    <s v="NOK"/>
    <s v="1404/09/22"/>
    <s v="-"/>
    <s v="-"/>
    <s v="-"/>
    <s v="-"/>
    <s v="-"/>
    <s v="-"/>
    <s v="قطعه معیوب"/>
    <s v="کریستال"/>
    <s v="عدم قلع پذیری پایه کریستال"/>
    <n v="1"/>
    <s v="IK02623880"/>
    <s v="-"/>
    <s v="1404/09/21"/>
    <s v="کاظمی پور"/>
    <x v="1"/>
    <s v="-"/>
    <s v="-"/>
    <s v="درحال بررسی"/>
    <s v="-"/>
    <s v="-"/>
  </r>
  <r>
    <n v="1"/>
    <s v="-"/>
    <n v="223527"/>
    <s v="1404/09/10"/>
    <s v="1404/09"/>
    <x v="8"/>
    <x v="1"/>
    <s v="NOD"/>
    <s v="NBCM TARA SAL SBR"/>
    <s v="ايرادعملكردي BCM (عدم عملكردمه شكن  عقب و جلو) رويت گرديد"/>
    <s v="عدم عملكرد ادوات برقي خودرو "/>
    <s v="OK"/>
    <s v="1404/09/19"/>
    <s v="-"/>
    <s v="-"/>
    <s v="-"/>
    <s v="-"/>
    <s v="-"/>
    <s v="-"/>
    <s v="-"/>
    <s v="درحال بررسی"/>
    <s v="در حال بررسی"/>
    <n v="1"/>
    <s v="IK02627480"/>
    <s v="-"/>
    <s v="1404/09/19"/>
    <s v="کاظمی پور"/>
    <x v="2"/>
    <s v="-"/>
    <s v="-"/>
    <s v="درحال بررسی"/>
    <s v="-"/>
    <s v="-"/>
  </r>
  <r>
    <n v="1"/>
    <s v="-"/>
    <n v="223529"/>
    <s v="1404/09/10"/>
    <s v="1404/09"/>
    <x v="8"/>
    <x v="1"/>
    <s v="NOD"/>
    <s v="SBM 207 SBR"/>
    <s v="ايرادعملكردي BCM (عدم عملكرد راهنماي و فلاشر چپ) رويت گرديد"/>
    <s v="عدم عملكرد ادوات برقي خودرو "/>
    <s v="-"/>
    <s v="-"/>
    <s v="-"/>
    <s v="-"/>
    <s v="-"/>
    <s v="-"/>
    <s v="-"/>
    <s v="-"/>
    <s v="-"/>
    <s v="عدم دریافت قطعه"/>
    <s v="عدم دریافت قطعه"/>
    <n v="1"/>
    <s v="IK02627780"/>
    <s v="-"/>
    <s v="-"/>
    <s v="-"/>
    <x v="2"/>
    <s v="-"/>
    <s v="-"/>
    <s v="عدم دریافت قطعه"/>
    <s v="-"/>
    <s v="-"/>
  </r>
  <r>
    <n v="1"/>
    <s v="-"/>
    <n v="223908"/>
    <s v="1404/09/16"/>
    <s v="1404/09"/>
    <x v="8"/>
    <x v="1"/>
    <s v="جلو آمپر"/>
    <s v="جلو آمپر207 اتوماتیک85 گانه"/>
    <s v="ايراد عدم تطابق ليبل و حك مشاهده شده است كه نشان از خطاپذير بودن تطابق ليبل و حك دارد . مطابق آديت فرايند رديابي مغايرت موضوع فوق اعلام شده بود كه لازم است ضمن ضدخطاسازي فرايند رديابي جلوآمپر نسبت به اخذ تائيديه فرايند رديابي از بخش رديابي ساپكو اقدام لازم انجام گردد . محمدي"/>
    <s v="ایراد در لیبل"/>
    <s v="-"/>
    <s v="-"/>
    <s v="-"/>
    <s v="-"/>
    <s v="-"/>
    <s v="-"/>
    <s v="-"/>
    <s v="-"/>
    <s v="-"/>
    <s v="عدم دریافت قطعه"/>
    <s v="عدم دریافت قطعه"/>
    <n v="67"/>
    <s v="IK01917980"/>
    <s v="-"/>
    <s v="-"/>
    <s v="-"/>
    <x v="2"/>
    <s v="-"/>
    <s v="-"/>
    <s v="عدم دریافت قطعه"/>
    <s v="-"/>
    <s v="-"/>
  </r>
  <r>
    <n v="1"/>
    <s v="-"/>
    <n v="224052"/>
    <s v="1404/09/19"/>
    <s v="1404/09"/>
    <x v="8"/>
    <x v="1"/>
    <s v="NOD"/>
    <s v="SBM SOREN SBR"/>
    <s v="ايراد عدم عملكرد لادري درب هاي عقب و صندوق و درب موتور به دليل معيوب بودن قطعه CBM (مجموعه  جعبه  الكترونيكي  مالتي پلكس) بروز نموده است."/>
    <s v="عدم عملكرد ادوات برقي خودرو "/>
    <s v="-"/>
    <s v="-"/>
    <s v="-"/>
    <s v="-"/>
    <s v="-"/>
    <s v="-"/>
    <s v="-"/>
    <s v="-"/>
    <s v="-"/>
    <s v="عدم دریافت قطعه"/>
    <s v="عدم دریافت قطعه"/>
    <n v="1"/>
    <s v="IK02626980"/>
    <s v="-"/>
    <s v="-"/>
    <s v="-"/>
    <x v="2"/>
    <s v="-"/>
    <s v="-"/>
    <s v="عدم دریافت قطعه"/>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8B2FCB-FCA6-41A9-A892-7818E1D54847}"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17" firstHeaderRow="1" firstDataRow="2" firstDataCol="1"/>
  <pivotFields count="33">
    <pivotField dataField="1" numFmtId="1" showAll="0"/>
    <pivotField numFmtId="1" showAll="0"/>
    <pivotField numFmtId="49" showAll="0"/>
    <pivotField showAll="0"/>
    <pivotField showAll="0"/>
    <pivotField axis="axisRow" numFmtId="49"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s>
  <rowFields count="1">
    <field x="5"/>
  </rowFields>
  <rowItems count="13">
    <i>
      <x v="12"/>
    </i>
    <i>
      <x v="13"/>
    </i>
    <i>
      <x v="14"/>
    </i>
    <i>
      <x v="15"/>
    </i>
    <i>
      <x v="16"/>
    </i>
    <i>
      <x v="17"/>
    </i>
    <i>
      <x v="18"/>
    </i>
    <i>
      <x v="19"/>
    </i>
    <i>
      <x v="20"/>
    </i>
    <i>
      <x v="21"/>
    </i>
    <i>
      <x v="22"/>
    </i>
    <i>
      <x v="23"/>
    </i>
    <i t="grand">
      <x/>
    </i>
  </rowItems>
  <colFields count="1">
    <field x="6"/>
  </colFields>
  <colItems count="3">
    <i>
      <x/>
    </i>
    <i>
      <x v="1"/>
    </i>
    <i t="grand">
      <x/>
    </i>
  </colItems>
  <dataFields count="1">
    <dataField name="Sum of تعداد اخطار کیفی" fld="0" baseField="0" baseItem="0" numFmtId="1"/>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1697CD-0295-4E6A-88C6-87EAD818D38F}" name="PivotTable3"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H17" firstHeaderRow="1" firstDataRow="2" firstDataCol="1"/>
  <pivotFields count="33">
    <pivotField dataField="1" numFmtId="1" showAll="0"/>
    <pivotField numFmtId="1" showAll="0"/>
    <pivotField numFmtId="49" showAll="0"/>
    <pivotField showAll="0"/>
    <pivotField showAll="0"/>
    <pivotField axis="axisRow" numFmtId="49"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axis="axisCol" showAll="0">
      <items count="8">
        <item x="4"/>
        <item x="3"/>
        <item x="0"/>
        <item x="1"/>
        <item x="2"/>
        <item m="1" x="6"/>
        <item x="5"/>
        <item t="default"/>
      </items>
    </pivotField>
    <pivotField showAll="0"/>
    <pivotField showAll="0"/>
    <pivotField showAll="0"/>
    <pivotField showAll="0"/>
    <pivotField showAll="0"/>
  </pivotFields>
  <rowFields count="1">
    <field x="5"/>
  </rowFields>
  <rowItems count="13">
    <i>
      <x v="12"/>
    </i>
    <i>
      <x v="13"/>
    </i>
    <i>
      <x v="14"/>
    </i>
    <i>
      <x v="15"/>
    </i>
    <i>
      <x v="16"/>
    </i>
    <i>
      <x v="17"/>
    </i>
    <i>
      <x v="18"/>
    </i>
    <i>
      <x v="19"/>
    </i>
    <i>
      <x v="20"/>
    </i>
    <i>
      <x v="21"/>
    </i>
    <i>
      <x v="22"/>
    </i>
    <i>
      <x v="23"/>
    </i>
    <i t="grand">
      <x/>
    </i>
  </rowItems>
  <colFields count="1">
    <field x="27"/>
  </colFields>
  <colItems count="7">
    <i>
      <x/>
    </i>
    <i>
      <x v="1"/>
    </i>
    <i>
      <x v="2"/>
    </i>
    <i>
      <x v="3"/>
    </i>
    <i>
      <x v="4"/>
    </i>
    <i>
      <x v="6"/>
    </i>
    <i t="grand">
      <x/>
    </i>
  </colItems>
  <dataFields count="1">
    <dataField name="Sum of تعداد اخطار کیفی" fld="0" baseField="0" baseItem="0" numFmtId="1"/>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6BD30C5-633F-4F1C-96B3-92552F1EB57E}" name="Table10" displayName="Table10" ref="A1:C61" totalsRowShown="0" headerRowDxfId="100" dataDxfId="99">
  <autoFilter ref="A1:C61" xr:uid="{96BD30C5-633F-4F1C-96B3-92552F1EB57E}"/>
  <tableColumns count="3">
    <tableColumn id="1" xr3:uid="{41B0E89B-24B6-4EE8-9BF2-D24BE4FE852F}" name="شماره فني" dataDxfId="98"/>
    <tableColumn id="2" xr3:uid="{2FF76D9A-49FA-479D-AB6A-4568545641AE}" name="شرح قطعه" dataDxfId="97"/>
    <tableColumn id="3" xr3:uid="{C8E3EA6A-D417-46DE-A786-87DD24C9BE91}" name="خانواده قطعات" dataDxfId="9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7191B3-5E07-487B-BCE5-06B04C94229E}" name="Table22" displayName="Table22" ref="A1:AF352" totalsRowShown="0" headerRowDxfId="95" dataDxfId="93" headerRowBorderDxfId="94" tableBorderDxfId="92" totalsRowBorderDxfId="91" headerRowCellStyle="Normal" dataCellStyle="Normal">
  <autoFilter ref="A1:AF352" xr:uid="{00000000-0009-0000-0000-000004000000}">
    <filterColumn colId="2">
      <filters>
        <filter val="1404/01/16"/>
        <filter val="1404/01/19"/>
        <filter val="1404/01/23"/>
        <filter val="1404/01/25"/>
        <filter val="1404/01/26"/>
        <filter val="1404/01/27"/>
        <filter val="1404/01/28"/>
        <filter val="1404/02/01"/>
        <filter val="1404/02/02"/>
        <filter val="1404/02/05"/>
        <filter val="1404/02/08"/>
        <filter val="1404/02/17"/>
        <filter val="1404/02/23"/>
        <filter val="1404/02/24"/>
        <filter val="1404/02/27"/>
        <filter val="1404/02/29"/>
        <filter val="1404/03/03"/>
        <filter val="1404/03/04"/>
        <filter val="1404/03/13"/>
        <filter val="1404/03/20"/>
        <filter val="1404/03/22"/>
        <filter val="1404/04/09"/>
        <filter val="1404/04/17"/>
        <filter val="1404/04/18"/>
        <filter val="1404/04/19"/>
        <filter val="1404/04/22"/>
        <filter val="1404/04/26"/>
        <filter val="1404/04/30"/>
        <filter val="1404/05/04"/>
        <filter val="1404/05/06"/>
        <filter val="1404/05/09"/>
        <filter val="1404/05/11"/>
        <filter val="1404/05/13"/>
        <filter val="1404/05/14"/>
        <filter val="1404/05/16"/>
        <filter val="1404/05/18"/>
        <filter val="1404/05/20"/>
        <filter val="1404/05/28"/>
        <filter val="1404/05/29"/>
        <filter val="1404/06/08"/>
        <filter val="1404/06/11"/>
        <filter val="1404/06/15"/>
        <filter val="1404/06/17"/>
        <filter val="1404/06/20"/>
        <filter val="1404/06/23"/>
        <filter val="1404/06/24"/>
        <filter val="1404/06/26"/>
        <filter val="1404/06/31"/>
        <filter val="1404/07/03"/>
        <filter val="1404/07/05"/>
        <filter val="1404/07/07"/>
        <filter val="1404/07/08"/>
        <filter val="1404/07/09"/>
        <filter val="1404/07/16"/>
        <filter val="1404/07/20"/>
        <filter val="1404/07/21"/>
        <filter val="1404/07/22"/>
        <filter val="1404/07/24"/>
        <filter val="1404/07/28"/>
        <filter val="1404/07/30"/>
        <filter val="1404/08/01"/>
        <filter val="1404/08/03"/>
        <filter val="1404/08/06"/>
        <filter val="1404/08/10"/>
        <filter val="1404/08/14"/>
        <filter val="1404/08/17"/>
        <filter val="1404/08/19"/>
        <filter val="1404/08/20"/>
        <filter val="1404/08/26"/>
        <filter val="1404/08/28"/>
        <filter val="1404/09/01"/>
        <filter val="1404/09/02"/>
        <filter val="1404/09/04"/>
        <filter val="1404/09/05"/>
        <filter val="1404/09/08"/>
        <filter val="1404/09/10"/>
        <filter val="1404/09/16"/>
        <filter val="1404/09/19"/>
      </filters>
    </filterColumn>
  </autoFilter>
  <tableColumns count="32">
    <tableColumn id="2" xr3:uid="{56D54B5E-550E-4604-95D3-4FF480BB11AF}" name="تعداد اخطار کیفی" dataDxfId="90" dataCellStyle="Normal"/>
    <tableColumn id="3" xr3:uid="{FEE04B1D-4036-4917-9A8D-A7CFCE355DF0}" name="سريال اخطار" dataDxfId="89" dataCellStyle="Normal"/>
    <tableColumn id="4" xr3:uid="{A6ED5D8F-0B67-4B8D-949D-722E082CE940}" name="تاريخ تاييد" dataDxfId="88" dataCellStyle="Normal"/>
    <tableColumn id="32" xr3:uid="{0412353F-FECD-4377-B8D8-10843FD4FAD0}" name="ماهیانه" dataDxfId="87">
      <calculatedColumnFormula>MID(Table22[[#This Row],[تاريخ تاييد]],1,7)</calculatedColumnFormula>
    </tableColumn>
    <tableColumn id="5" xr3:uid="{EC7AF719-C4D7-4EF0-B683-8AAF4582173D}" name="ماه" dataDxfId="86" dataCellStyle="Normal">
      <calculatedColumnFormula>MID(Table22[[#This Row],[تاريخ تاييد]],6,2)</calculatedColumnFormula>
    </tableColumn>
    <tableColumn id="31" xr3:uid="{6291D1D5-6785-43AC-A22A-DFBE9A6EB641}" name="سال" dataDxfId="85" dataCellStyle="Normal"/>
    <tableColumn id="6" xr3:uid="{10E0C06C-E606-4189-9447-09298D99BB51}" name="محصولات" dataDxfId="84" dataCellStyle="Normal">
      <calculatedColumnFormula>VLOOKUP(Table22[[#This Row],[شماره فني]],Sheet7!A:C,3,0)</calculatedColumnFormula>
    </tableColumn>
    <tableColumn id="7" xr3:uid="{C7611253-16E9-4A16-AC58-F0E1AB03009E}" name="شرح قطعه" dataDxfId="83" dataCellStyle="Normal">
      <calculatedColumnFormula>VLOOKUP(Table22[[#This Row],[شماره فني]],Sheet7!A:B,2,0)</calculatedColumnFormula>
    </tableColumn>
    <tableColumn id="8" xr3:uid="{EF2EDFA8-D116-4906-8FD3-8B316AEAA5E9}" name="ایراد اعلام شده مشتری" dataDxfId="82" dataCellStyle="Normal"/>
    <tableColumn id="9" xr3:uid="{D341F828-917F-4DEF-AD3B-197DF00461A0}" name="شرح ایراد" dataDxfId="81" dataCellStyle="Normal"/>
    <tableColumn id="10" xr3:uid="{DC638091-A308-4622-9308-8379956EF833}" name="تستر" dataDxfId="80" dataCellStyle="Normal"/>
    <tableColumn id="11" xr3:uid="{918C91B0-9C2E-4812-BE7A-6111DC9ECD79}" name="تاریخ تست" dataDxfId="79" dataCellStyle="Normal"/>
    <tableColumn id="12" xr3:uid="{326A481F-E7F2-425D-9BC3-7CAC30C88C42}" name="تست خودرویی" dataDxfId="78" dataCellStyle="Normal"/>
    <tableColumn id="13" xr3:uid="{CC2C46FA-8DAF-4FCC-8F50-981BBBF95CBB}" name="تاریخ تست خودرویی" dataDxfId="77" dataCellStyle="Normal"/>
    <tableColumn id="14" xr3:uid="{A25E4510-F742-4662-8781-94FA02C51C39}" name="تست پیشنهادی" dataDxfId="76" dataCellStyle="Normal"/>
    <tableColumn id="15" xr3:uid="{6B4340F0-2C25-407E-8398-4789ADE3AC92}" name="تاریخ تست پیشنهادی" dataDxfId="75" dataCellStyle="Normal"/>
    <tableColumn id="16" xr3:uid="{0D9A24FC-C34A-41AB-84F8-7DA8C5455258}" name="بررسی اول" dataDxfId="74" dataCellStyle="Normal"/>
    <tableColumn id="17" xr3:uid="{E9A5C1AF-13C9-4898-A309-5CE09F1995B7}" name="بررسی دوم" dataDxfId="73" dataCellStyle="Normal"/>
    <tableColumn id="18" xr3:uid="{CE8EB8F7-F0EF-441E-BD02-FC58B080CB1C}" name="بررسی سوم" dataDxfId="72" dataCellStyle="Normal"/>
    <tableColumn id="19" xr3:uid="{7F05357A-4D59-4A6F-8F97-128B55778D94}" name="ریشه ایراد" dataDxfId="71" dataCellStyle="Normal"/>
    <tableColumn id="30" xr3:uid="{A5677BF7-D054-460B-9C34-376926913BAB}" name="دلیل ایجاد ایراد " dataDxfId="70" dataCellStyle="Normal"/>
    <tableColumn id="20" xr3:uid="{613DDEEA-3DB6-4764-9749-95CDFA7F15E0}" name="تعداد قطعات_x000a_ معيوب" dataDxfId="69" dataCellStyle="Normal"/>
    <tableColumn id="21" xr3:uid="{6850EC44-1FFD-4B05-81E5-82F55FEDC2FF}" name="شماره فني" dataDxfId="68" dataCellStyle="Normal"/>
    <tableColumn id="22" xr3:uid="{282D6617-DF07-4436-BA96-D73143FB1D10}" name="بارکد محصول" dataDxfId="67" dataCellStyle="Normal"/>
    <tableColumn id="23" xr3:uid="{E8D8FED5-3496-495E-9CE0-597A14B080EC}" name="تاریخ تحویل قطعه" dataDxfId="66" dataCellStyle="Normal"/>
    <tableColumn id="24" xr3:uid="{679D39B2-D6C3-4536-91DB-555B647E9935}" name="تحویل گیرنده" dataDxfId="65" dataCellStyle="Normal"/>
    <tableColumn id="25" xr3:uid="{B0988C7B-CC76-448A-BBE1-B4C9E25DA51E}" name="6M" dataDxfId="64" dataCellStyle="Normal"/>
    <tableColumn id="33" xr3:uid="{183F3265-3BA1-49F2-9D6F-B1CF5FD5BFAC}" name="تجهیزات " dataDxfId="63"/>
    <tableColumn id="26" xr3:uid="{D40E9143-8CAF-4C51-8910-79E2CCA8C048}" name="کد اپراتور" dataDxfId="62" dataCellStyle="Normal"/>
    <tableColumn id="27" xr3:uid="{1CC55F98-2AF9-4D3A-B139-273438D0AFD0}" name="وضعیت" dataDxfId="61" dataCellStyle="Normal"/>
    <tableColumn id="28" xr3:uid="{7B9CDEF9-651A-4D2F-A49E-A2FF23AE311D}" name="اقدام تعریف شده" dataDxfId="60" dataCellStyle="Normal"/>
    <tableColumn id="29" xr3:uid="{80E3101B-E30C-48CE-9A13-F8ECD8F4BCFC}" name="مدارک" dataDxfId="59"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DDECDB-D623-463E-93CB-95712F5ADE62}" name="Table2" displayName="Table2" ref="A1:AG322" totalsRowShown="0" headerRowDxfId="58" dataDxfId="56" headerRowBorderDxfId="57" tableBorderDxfId="55" totalsRowBorderDxfId="54" headerRowCellStyle="Normal" dataCellStyle="Normal">
  <autoFilter ref="A1:AG322" xr:uid="{00000000-0009-0000-0000-000004000000}">
    <filterColumn colId="6">
      <filters>
        <filter val="1404"/>
      </filters>
    </filterColumn>
  </autoFilter>
  <sortState xmlns:xlrd2="http://schemas.microsoft.com/office/spreadsheetml/2017/richdata2" ref="A216:AG322">
    <sortCondition ref="C1:C322"/>
  </sortState>
  <tableColumns count="33">
    <tableColumn id="2" xr3:uid="{9D5F4BF2-7F9A-49DD-A437-22CF4DDB91D0}" name="تعداد اخطار کیفی" dataDxfId="53" dataCellStyle="Normal"/>
    <tableColumn id="1" xr3:uid="{56E2B3DA-405F-4144-ABBA-6ABB184393E7}" name="ردیف" dataDxfId="52"/>
    <tableColumn id="3" xr3:uid="{54F4F67B-8D79-49CF-959F-87BB6B9979F0}" name="سريال اخطار" dataDxfId="51" dataCellStyle="Normal"/>
    <tableColumn id="4" xr3:uid="{0C2DFC01-2026-4268-B518-803DBB323CDA}" name="تاريخ تاييد" dataDxfId="50" dataCellStyle="Normal"/>
    <tableColumn id="32" xr3:uid="{8A4F32BC-A6D0-48EC-A137-AF89E018FFB4}" name="ماهیانه" dataDxfId="49">
      <calculatedColumnFormula>MID(Table2[[#This Row],[تاريخ تاييد]],1,7)</calculatedColumnFormula>
    </tableColumn>
    <tableColumn id="5" xr3:uid="{76C90516-C5DB-4E7A-B5B3-906DA4672861}" name="ماه" dataDxfId="48" dataCellStyle="Normal">
      <calculatedColumnFormula>MID(Table2[[#This Row],[تاريخ تاييد]],6,2)</calculatedColumnFormula>
    </tableColumn>
    <tableColumn id="31" xr3:uid="{5703FEC2-B8CB-4AF1-A3E9-7874CC7BF9B3}" name="سال" dataDxfId="47" dataCellStyle="Normal"/>
    <tableColumn id="6" xr3:uid="{38FC652D-2ED2-43C3-B333-3A9DAC516979}" name="محصولات" dataDxfId="46" dataCellStyle="Normal">
      <calculatedColumnFormula>VLOOKUP(Table2[[#This Row],[شماره فني]],Sheet7!A:C,3,0)</calculatedColumnFormula>
    </tableColumn>
    <tableColumn id="7" xr3:uid="{80DCF8A9-F2DE-4CC0-99AD-D16E0B13F851}" name="شرح قطعه" dataDxfId="45" dataCellStyle="Normal">
      <calculatedColumnFormula>VLOOKUP(Table2[[#This Row],[شماره فني]],Sheet7!A:B,2,0)</calculatedColumnFormula>
    </tableColumn>
    <tableColumn id="8" xr3:uid="{E3F27281-D952-4BA0-9FA0-12A42ABAE60A}" name="ایراد اعلام شده مشتری" dataDxfId="44" dataCellStyle="Normal"/>
    <tableColumn id="9" xr3:uid="{0598CCE6-E457-4380-8E2B-3D3BB85F7502}" name="شرح ایراد" dataDxfId="43" dataCellStyle="Normal"/>
    <tableColumn id="10" xr3:uid="{11F50D77-0EF5-4929-BB96-277AE096E6BD}" name="تستر" dataDxfId="42" dataCellStyle="Normal"/>
    <tableColumn id="11" xr3:uid="{FE65B320-DF50-4275-9695-E8A25AA66FCD}" name="تاریخ تست" dataDxfId="41" dataCellStyle="Normal"/>
    <tableColumn id="12" xr3:uid="{071ED9AD-852C-4398-99F4-BAEEDC8B2563}" name="تست خودرویی" dataDxfId="40" dataCellStyle="Normal"/>
    <tableColumn id="13" xr3:uid="{CF22D7A6-E386-4AAB-AB46-93BA8623B7B2}" name="تاریخ تست خودرویی" dataDxfId="39" dataCellStyle="Normal"/>
    <tableColumn id="14" xr3:uid="{B133FAD1-CE82-40B1-95CE-7F389BF3CFED}" name="تست پیشنهادی" dataDxfId="38" dataCellStyle="Normal"/>
    <tableColumn id="15" xr3:uid="{4497809C-3F0F-4849-881A-F7732FABB311}" name="تاریخ تست پیشنهادی" dataDxfId="37" dataCellStyle="Normal"/>
    <tableColumn id="16" xr3:uid="{76EBBF4B-8F8A-49ED-B42F-4639AB44419E}" name="بررسی اول" dataDxfId="36" dataCellStyle="Normal"/>
    <tableColumn id="17" xr3:uid="{99E2C722-6748-4DEF-BC52-52E203B6493D}" name="بررسی دوم" dataDxfId="35" dataCellStyle="Normal"/>
    <tableColumn id="18" xr3:uid="{5C89CD90-BAEC-4BDC-B8AC-E7A4F73A6B40}" name="بررسی سوم" dataDxfId="34" dataCellStyle="Normal"/>
    <tableColumn id="19" xr3:uid="{20EB3081-9C1B-4635-9C98-15BC9851AB39}" name="ریشه ایراد" dataDxfId="33" dataCellStyle="Normal"/>
    <tableColumn id="30" xr3:uid="{6E910223-FCE6-4591-97D0-28C44A9AF7C5}" name="دلیل ایجاد ایراد " dataDxfId="32" dataCellStyle="Normal"/>
    <tableColumn id="20" xr3:uid="{DCFF3596-9713-40B6-8733-2AC956A650AE}" name="تعداد قطعات_x000a_ معيوب" dataDxfId="31" dataCellStyle="Normal"/>
    <tableColumn id="21" xr3:uid="{003E50DE-196A-473E-9635-3EBACC4C2208}" name="شماره فني" dataDxfId="30" dataCellStyle="Normal"/>
    <tableColumn id="22" xr3:uid="{C8421AE1-65E9-42FF-AA0B-2E2D4DDEFA7D}" name="بارکد محصول" dataDxfId="29" dataCellStyle="Normal"/>
    <tableColumn id="23" xr3:uid="{281B0802-D3F1-472A-9590-8ED76EDB5096}" name="تاریخ تحویل قطعه" dataDxfId="28" dataCellStyle="Normal"/>
    <tableColumn id="24" xr3:uid="{D15B3462-480B-4582-AA11-9AB94943C320}" name="تحویل گیرنده" dataDxfId="27" dataCellStyle="Normal"/>
    <tableColumn id="25" xr3:uid="{9E6A1177-A544-4138-A093-2E34D4534A17}" name="6M" dataDxfId="26" dataCellStyle="Normal"/>
    <tableColumn id="33" xr3:uid="{E0052F49-2C5E-4E66-A3D1-FC2B13D7B3E1}" name="تجهیزات " dataDxfId="25"/>
    <tableColumn id="26" xr3:uid="{26FC95C6-E32D-4A64-82AD-2237EB8C4B73}" name="کد اپراتور" dataDxfId="24" dataCellStyle="Normal"/>
    <tableColumn id="27" xr3:uid="{334248C8-F3DD-4C65-97C0-0FA40BFB77B3}" name="وضعیت" dataDxfId="23" dataCellStyle="Normal"/>
    <tableColumn id="28" xr3:uid="{D12C54E0-575C-4590-9837-9DFEC1CA6BC5}" name="اقدام تعریف شده" dataDxfId="22" dataCellStyle="Normal"/>
    <tableColumn id="29" xr3:uid="{DFE35BAB-CDE6-431F-8CAD-2E4D66115FFB}" name="مدارک" dataDxfId="21" dataCellStyle="Norma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E448D7-C571-40AD-9DD2-E305F05A2FA6}" name="Table4" displayName="Table4" ref="A1:C13" totalsRowShown="0">
  <autoFilter ref="A1:C13" xr:uid="{D5E448D7-C571-40AD-9DD2-E305F05A2FA6}"/>
  <tableColumns count="3">
    <tableColumn id="1" xr3:uid="{4A5C774C-6661-4115-ABC1-FA102ECBB5CE}" name="ماه"/>
    <tableColumn id="2" xr3:uid="{4B76B3C1-12A1-4B0A-80E6-E127D6E4D243}" name="1403"/>
    <tableColumn id="3" xr3:uid="{CEE1AB04-99D9-41D1-B28F-BD1AF2309192}" name="140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6A0F7A9-B677-416F-B38D-5D569DC8BB67}" name="Table7" displayName="Table7" ref="A1:C13" totalsRowShown="0" headerRowDxfId="20" dataDxfId="19" headerRowCellStyle="Comma" dataCellStyle="Comma">
  <autoFilter ref="A1:C13" xr:uid="{A6A0F7A9-B677-416F-B38D-5D569DC8BB67}"/>
  <tableColumns count="3">
    <tableColumn id="1" xr3:uid="{4B21AD9E-7888-4A87-9C64-E8D86485063C}" name="ماه" dataDxfId="18" dataCellStyle="Comma"/>
    <tableColumn id="2" xr3:uid="{6DC4505A-3487-4D06-897E-59968050D266}" name="1403" dataDxfId="17" dataCellStyle="Comma"/>
    <tableColumn id="3" xr3:uid="{083277F8-A193-4383-B4C0-B3D43C857715}" name="1404" dataDxfId="16"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FB1C75-D3D5-47A6-989C-663DAAF685AF}" name="Table6" displayName="Table6" ref="A1:B18" totalsRowShown="0" headerRowDxfId="15" dataDxfId="14" headerRowCellStyle="Comma" dataCellStyle="Comma">
  <autoFilter ref="A1:B18" xr:uid="{9DFB1C75-D3D5-47A6-989C-663DAAF685AF}"/>
  <tableColumns count="2">
    <tableColumn id="1" xr3:uid="{FDE082E4-CB30-4DFF-819D-55DE454EC956}" name="YM" dataDxfId="13" dataCellStyle="Comma"/>
    <tableColumn id="2" xr3:uid="{0C04A284-7846-4D57-B7E3-78D3958804E4}" name="Max of PPM" dataDxfId="12" dataCellStyle="Comm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B556490-5CC0-486B-8F12-667DB9EBAFE8}" name="Table8" displayName="Table8" ref="A1:B16" totalsRowShown="0" headerRowDxfId="11" dataDxfId="10">
  <autoFilter ref="A1:B16" xr:uid="{1B556490-5CC0-486B-8F12-667DB9EBAFE8}"/>
  <tableColumns count="2">
    <tableColumn id="1" xr3:uid="{6910FF34-32AC-4F6F-BA12-081682D7511C}" name="ماه" dataDxfId="9" dataCellStyle="Comma"/>
    <tableColumn id="2" xr3:uid="{2A2F2255-78B2-4015-A3E9-FE30F97D7C3B}" name="امتیاز عملکرد" dataDxfId="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58B39F2-3DAE-4B47-8F08-1263704CDF88}" name="Table9" displayName="Table9" ref="A1:B2" totalsRowShown="0">
  <autoFilter ref="A1:B2" xr:uid="{958B39F2-3DAE-4B47-8F08-1263704CDF88}"/>
  <tableColumns count="2">
    <tableColumn id="1" xr3:uid="{326DE538-0A86-4A10-B0BB-5554ED479BAA}" name="Column1"/>
    <tableColumn id="2" xr3:uid="{300AAE4E-2011-48B1-8344-0B05E05F9BEA}" name="نمره "/>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E39CBE-05A7-41C6-B41D-6DBEBBEC53BD}" name="Table5" displayName="Table5" ref="A1:F13" totalsRowShown="0" headerRowDxfId="7" dataDxfId="6">
  <autoFilter ref="A1:F13" xr:uid="{5AE39CBE-05A7-41C6-B41D-6DBEBBEC53BD}"/>
  <tableColumns count="6">
    <tableColumn id="1" xr3:uid="{67C21CD7-8AC3-457E-BA1E-51BC4917FC46}" name="ماه" dataDxfId="5"/>
    <tableColumn id="2" xr3:uid="{1D369947-E3D3-4BEE-B3BF-41E480943EAD}" name="اپراتور" dataDxfId="4"/>
    <tableColumn id="3" xr3:uid="{B0E49FC8-6D7F-4CF2-BF09-E7A38CFD3B22}" name="تجهیزات" dataDxfId="3"/>
    <tableColumn id="4" xr3:uid="{B3F10C6C-7032-4BD0-B599-87CD14A4C47B}" name="روش" dataDxfId="2"/>
    <tableColumn id="5" xr3:uid="{6B775A19-7257-468C-ABD5-13D3989DC038}" name="مواد اولیه" dataDxfId="1"/>
    <tableColumn id="6" xr3:uid="{18C4042A-E642-4588-AC13-029932CE2324}" name="نامشخص"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1593;&#1705;&#1587;\201705.jpg" TargetMode="External"/><Relationship Id="rId7" Type="http://schemas.openxmlformats.org/officeDocument/2006/relationships/printerSettings" Target="../printerSettings/printerSettings1.bin"/><Relationship Id="rId2" Type="http://schemas.openxmlformats.org/officeDocument/2006/relationships/hyperlink" Target="&#1593;&#1705;&#1587;\202369.jpg" TargetMode="External"/><Relationship Id="rId1" Type="http://schemas.openxmlformats.org/officeDocument/2006/relationships/hyperlink" Target="&#1593;&#1705;&#1587;\201904.jpg" TargetMode="External"/><Relationship Id="rId6" Type="http://schemas.openxmlformats.org/officeDocument/2006/relationships/hyperlink" Target="&#1593;&#1705;&#1587;\207049.jpg" TargetMode="External"/><Relationship Id="rId5" Type="http://schemas.openxmlformats.org/officeDocument/2006/relationships/hyperlink" Target="&#1593;&#1705;&#1587;\201369.JPG" TargetMode="External"/><Relationship Id="rId4" Type="http://schemas.openxmlformats.org/officeDocument/2006/relationships/hyperlink" Target="&#1593;&#1705;&#1587;\201985.jpg" TargetMode="Externa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1593;&#1705;&#1587;\201705.jpg" TargetMode="External"/><Relationship Id="rId7" Type="http://schemas.openxmlformats.org/officeDocument/2006/relationships/printerSettings" Target="../printerSettings/printerSettings2.bin"/><Relationship Id="rId2" Type="http://schemas.openxmlformats.org/officeDocument/2006/relationships/hyperlink" Target="&#1593;&#1705;&#1587;\202369.jpg" TargetMode="External"/><Relationship Id="rId1" Type="http://schemas.openxmlformats.org/officeDocument/2006/relationships/hyperlink" Target="&#1593;&#1705;&#1587;\201904.jpg" TargetMode="External"/><Relationship Id="rId6" Type="http://schemas.openxmlformats.org/officeDocument/2006/relationships/hyperlink" Target="&#1593;&#1705;&#1587;\207049.jpg" TargetMode="External"/><Relationship Id="rId5" Type="http://schemas.openxmlformats.org/officeDocument/2006/relationships/hyperlink" Target="&#1593;&#1705;&#1587;\201369.JPG" TargetMode="External"/><Relationship Id="rId4" Type="http://schemas.openxmlformats.org/officeDocument/2006/relationships/hyperlink" Target="&#1593;&#1705;&#1587;\201985.jpg"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AF1C8-7E0B-43EE-B166-1A11A42B6067}">
  <dimension ref="A1:E61"/>
  <sheetViews>
    <sheetView rightToLeft="1" topLeftCell="A31" workbookViewId="0">
      <selection activeCell="A16" sqref="A16"/>
    </sheetView>
  </sheetViews>
  <sheetFormatPr defaultRowHeight="15" x14ac:dyDescent="0.25"/>
  <cols>
    <col min="1" max="1" width="22.140625" style="3" customWidth="1"/>
    <col min="2" max="2" width="37.7109375" style="3" customWidth="1"/>
    <col min="3" max="3" width="16.85546875" style="3" bestFit="1" customWidth="1"/>
    <col min="4" max="4" width="10.7109375" bestFit="1" customWidth="1"/>
    <col min="5" max="5" width="26.42578125" bestFit="1" customWidth="1"/>
    <col min="6" max="6" width="54.28515625" customWidth="1"/>
  </cols>
  <sheetData>
    <row r="1" spans="1:3" x14ac:dyDescent="0.25">
      <c r="A1" s="3" t="s">
        <v>8</v>
      </c>
      <c r="B1" s="3" t="s">
        <v>9</v>
      </c>
      <c r="C1" s="3" t="s">
        <v>703</v>
      </c>
    </row>
    <row r="2" spans="1:3" x14ac:dyDescent="0.25">
      <c r="A2" s="3" t="s">
        <v>16</v>
      </c>
      <c r="B2" s="3" t="s">
        <v>14</v>
      </c>
      <c r="C2" s="3" t="s">
        <v>706</v>
      </c>
    </row>
    <row r="3" spans="1:3" x14ac:dyDescent="0.25">
      <c r="A3" s="3" t="s">
        <v>19</v>
      </c>
      <c r="B3" s="3" t="s">
        <v>17</v>
      </c>
      <c r="C3" s="3" t="s">
        <v>706</v>
      </c>
    </row>
    <row r="4" spans="1:3" x14ac:dyDescent="0.25">
      <c r="A4" s="3" t="s">
        <v>663</v>
      </c>
      <c r="B4" s="3" t="s">
        <v>17</v>
      </c>
      <c r="C4" s="3" t="s">
        <v>706</v>
      </c>
    </row>
    <row r="5" spans="1:3" x14ac:dyDescent="0.25">
      <c r="A5" s="3" t="s">
        <v>15</v>
      </c>
      <c r="B5" s="3" t="s">
        <v>13</v>
      </c>
      <c r="C5" s="3" t="s">
        <v>706</v>
      </c>
    </row>
    <row r="6" spans="1:3" x14ac:dyDescent="0.25">
      <c r="A6" s="3" t="s">
        <v>95</v>
      </c>
      <c r="B6" s="3" t="s">
        <v>98</v>
      </c>
      <c r="C6" s="3" t="s">
        <v>706</v>
      </c>
    </row>
    <row r="7" spans="1:3" x14ac:dyDescent="0.25">
      <c r="A7" s="3" t="s">
        <v>702</v>
      </c>
      <c r="B7" s="3" t="s">
        <v>701</v>
      </c>
      <c r="C7" s="3" t="s">
        <v>706</v>
      </c>
    </row>
    <row r="8" spans="1:3" x14ac:dyDescent="0.25">
      <c r="A8" s="3" t="s">
        <v>208</v>
      </c>
      <c r="B8" s="3" t="s">
        <v>18</v>
      </c>
      <c r="C8" s="3" t="s">
        <v>706</v>
      </c>
    </row>
    <row r="9" spans="1:3" x14ac:dyDescent="0.25">
      <c r="A9" s="3" t="s">
        <v>514</v>
      </c>
      <c r="B9" s="3" t="s">
        <v>705</v>
      </c>
      <c r="C9" s="3" t="s">
        <v>706</v>
      </c>
    </row>
    <row r="10" spans="1:3" x14ac:dyDescent="0.25">
      <c r="A10" s="3" t="s">
        <v>708</v>
      </c>
      <c r="B10" s="3" t="s">
        <v>707</v>
      </c>
      <c r="C10" s="3" t="s">
        <v>706</v>
      </c>
    </row>
    <row r="11" spans="1:3" x14ac:dyDescent="0.25">
      <c r="A11" s="3" t="s">
        <v>288</v>
      </c>
      <c r="B11" s="3" t="s">
        <v>18</v>
      </c>
      <c r="C11" s="3" t="s">
        <v>706</v>
      </c>
    </row>
    <row r="12" spans="1:3" x14ac:dyDescent="0.25">
      <c r="A12" s="3" t="s">
        <v>643</v>
      </c>
      <c r="B12" s="3" t="s">
        <v>672</v>
      </c>
      <c r="C12" s="3" t="s">
        <v>256</v>
      </c>
    </row>
    <row r="13" spans="1:3" x14ac:dyDescent="0.25">
      <c r="A13" s="3" t="s">
        <v>644</v>
      </c>
      <c r="B13" s="3" t="s">
        <v>673</v>
      </c>
      <c r="C13" s="3" t="s">
        <v>256</v>
      </c>
    </row>
    <row r="14" spans="1:3" x14ac:dyDescent="0.25">
      <c r="A14" s="3" t="s">
        <v>21</v>
      </c>
      <c r="B14" s="3" t="s">
        <v>674</v>
      </c>
      <c r="C14" s="3" t="s">
        <v>256</v>
      </c>
    </row>
    <row r="15" spans="1:3" x14ac:dyDescent="0.25">
      <c r="A15" s="3" t="s">
        <v>96</v>
      </c>
      <c r="B15" s="3" t="s">
        <v>675</v>
      </c>
      <c r="C15" s="3" t="s">
        <v>256</v>
      </c>
    </row>
    <row r="16" spans="1:3" x14ac:dyDescent="0.25">
      <c r="A16" s="3" t="s">
        <v>97</v>
      </c>
      <c r="B16" s="3" t="s">
        <v>676</v>
      </c>
      <c r="C16" s="3" t="s">
        <v>256</v>
      </c>
    </row>
    <row r="17" spans="1:5" x14ac:dyDescent="0.25">
      <c r="A17" s="3" t="s">
        <v>20</v>
      </c>
      <c r="B17" s="3" t="s">
        <v>677</v>
      </c>
      <c r="C17" s="3" t="s">
        <v>256</v>
      </c>
    </row>
    <row r="18" spans="1:5" x14ac:dyDescent="0.25">
      <c r="A18" s="3" t="s">
        <v>30</v>
      </c>
      <c r="B18" s="3" t="s">
        <v>678</v>
      </c>
      <c r="C18" s="3" t="s">
        <v>256</v>
      </c>
      <c r="E18" s="6"/>
    </row>
    <row r="19" spans="1:5" x14ac:dyDescent="0.25">
      <c r="A19" s="3" t="s">
        <v>645</v>
      </c>
      <c r="B19" s="3" t="s">
        <v>679</v>
      </c>
      <c r="C19" s="3" t="s">
        <v>256</v>
      </c>
    </row>
    <row r="20" spans="1:5" x14ac:dyDescent="0.25">
      <c r="A20" s="3" t="s">
        <v>31</v>
      </c>
      <c r="B20" s="3" t="s">
        <v>680</v>
      </c>
      <c r="C20" s="3" t="s">
        <v>256</v>
      </c>
    </row>
    <row r="21" spans="1:5" x14ac:dyDescent="0.25">
      <c r="A21" s="3" t="s">
        <v>250</v>
      </c>
      <c r="B21" s="3" t="s">
        <v>681</v>
      </c>
      <c r="C21" s="3" t="s">
        <v>256</v>
      </c>
    </row>
    <row r="22" spans="1:5" x14ac:dyDescent="0.25">
      <c r="A22" s="3" t="s">
        <v>646</v>
      </c>
      <c r="B22" s="3" t="s">
        <v>682</v>
      </c>
      <c r="C22" s="3" t="s">
        <v>256</v>
      </c>
    </row>
    <row r="23" spans="1:5" x14ac:dyDescent="0.25">
      <c r="A23" s="3" t="s">
        <v>647</v>
      </c>
      <c r="B23" s="3" t="s">
        <v>683</v>
      </c>
      <c r="C23" s="3" t="s">
        <v>256</v>
      </c>
    </row>
    <row r="24" spans="1:5" x14ac:dyDescent="0.25">
      <c r="A24" s="3" t="s">
        <v>648</v>
      </c>
      <c r="B24" s="3" t="s">
        <v>684</v>
      </c>
      <c r="C24" s="3" t="s">
        <v>256</v>
      </c>
    </row>
    <row r="25" spans="1:5" x14ac:dyDescent="0.25">
      <c r="A25" s="3" t="s">
        <v>32</v>
      </c>
      <c r="B25" s="3" t="s">
        <v>685</v>
      </c>
      <c r="C25" s="3" t="s">
        <v>256</v>
      </c>
    </row>
    <row r="26" spans="1:5" x14ac:dyDescent="0.25">
      <c r="A26" s="3" t="s">
        <v>649</v>
      </c>
      <c r="B26" s="3" t="s">
        <v>686</v>
      </c>
      <c r="C26" s="3" t="s">
        <v>256</v>
      </c>
    </row>
    <row r="27" spans="1:5" x14ac:dyDescent="0.25">
      <c r="A27" s="3" t="s">
        <v>650</v>
      </c>
      <c r="B27" s="3" t="s">
        <v>687</v>
      </c>
      <c r="C27" s="3" t="s">
        <v>256</v>
      </c>
    </row>
    <row r="28" spans="1:5" x14ac:dyDescent="0.25">
      <c r="A28" s="3" t="s">
        <v>651</v>
      </c>
      <c r="B28" s="3" t="s">
        <v>688</v>
      </c>
      <c r="C28" s="3" t="s">
        <v>256</v>
      </c>
    </row>
    <row r="29" spans="1:5" x14ac:dyDescent="0.25">
      <c r="A29" s="3" t="s">
        <v>652</v>
      </c>
      <c r="B29" s="3" t="s">
        <v>689</v>
      </c>
      <c r="C29" s="3" t="s">
        <v>256</v>
      </c>
    </row>
    <row r="30" spans="1:5" x14ac:dyDescent="0.25">
      <c r="A30" s="3" t="s">
        <v>653</v>
      </c>
      <c r="B30" s="3" t="s">
        <v>690</v>
      </c>
      <c r="C30" s="3" t="s">
        <v>256</v>
      </c>
    </row>
    <row r="31" spans="1:5" x14ac:dyDescent="0.25">
      <c r="A31" s="3" t="s">
        <v>654</v>
      </c>
      <c r="B31" s="3" t="s">
        <v>691</v>
      </c>
      <c r="C31" s="3" t="s">
        <v>256</v>
      </c>
    </row>
    <row r="32" spans="1:5" x14ac:dyDescent="0.25">
      <c r="A32" s="3" t="s">
        <v>655</v>
      </c>
      <c r="B32" s="3" t="s">
        <v>692</v>
      </c>
      <c r="C32" s="3" t="s">
        <v>256</v>
      </c>
    </row>
    <row r="33" spans="1:3" x14ac:dyDescent="0.25">
      <c r="A33" s="3" t="s">
        <v>656</v>
      </c>
      <c r="B33" s="3" t="s">
        <v>694</v>
      </c>
      <c r="C33" s="3" t="s">
        <v>256</v>
      </c>
    </row>
    <row r="34" spans="1:3" x14ac:dyDescent="0.25">
      <c r="A34" s="3" t="s">
        <v>657</v>
      </c>
      <c r="B34" s="3" t="s">
        <v>693</v>
      </c>
      <c r="C34" s="3" t="s">
        <v>256</v>
      </c>
    </row>
    <row r="35" spans="1:3" x14ac:dyDescent="0.25">
      <c r="A35" s="3" t="s">
        <v>658</v>
      </c>
      <c r="B35" s="3" t="s">
        <v>695</v>
      </c>
      <c r="C35" s="3" t="s">
        <v>256</v>
      </c>
    </row>
    <row r="36" spans="1:3" x14ac:dyDescent="0.25">
      <c r="A36" s="3" t="s">
        <v>659</v>
      </c>
      <c r="B36" s="3" t="s">
        <v>696</v>
      </c>
      <c r="C36" s="3" t="s">
        <v>256</v>
      </c>
    </row>
    <row r="37" spans="1:3" x14ac:dyDescent="0.25">
      <c r="A37" s="3" t="s">
        <v>660</v>
      </c>
      <c r="B37" s="3" t="s">
        <v>697</v>
      </c>
      <c r="C37" s="3" t="s">
        <v>256</v>
      </c>
    </row>
    <row r="38" spans="1:3" x14ac:dyDescent="0.25">
      <c r="A38" s="3">
        <v>72320818</v>
      </c>
      <c r="B38" s="3" t="s">
        <v>698</v>
      </c>
      <c r="C38" s="3" t="s">
        <v>256</v>
      </c>
    </row>
    <row r="39" spans="1:3" x14ac:dyDescent="0.25">
      <c r="A39" s="3" t="s">
        <v>661</v>
      </c>
      <c r="B39" s="3" t="s">
        <v>699</v>
      </c>
      <c r="C39" s="3" t="s">
        <v>256</v>
      </c>
    </row>
    <row r="40" spans="1:3" x14ac:dyDescent="0.25">
      <c r="A40" s="3" t="s">
        <v>662</v>
      </c>
      <c r="B40" s="3" t="s">
        <v>700</v>
      </c>
      <c r="C40" s="3" t="s">
        <v>256</v>
      </c>
    </row>
    <row r="41" spans="1:3" x14ac:dyDescent="0.25">
      <c r="A41" s="3" t="s">
        <v>306</v>
      </c>
      <c r="B41" s="3" t="s">
        <v>666</v>
      </c>
      <c r="C41" s="3" t="s">
        <v>704</v>
      </c>
    </row>
    <row r="42" spans="1:3" x14ac:dyDescent="0.25">
      <c r="A42" s="3" t="s">
        <v>388</v>
      </c>
      <c r="B42" s="3" t="s">
        <v>667</v>
      </c>
      <c r="C42" s="3" t="s">
        <v>704</v>
      </c>
    </row>
    <row r="43" spans="1:3" x14ac:dyDescent="0.25">
      <c r="A43" s="3" t="s">
        <v>205</v>
      </c>
      <c r="B43" s="3" t="s">
        <v>241</v>
      </c>
      <c r="C43" s="3" t="s">
        <v>704</v>
      </c>
    </row>
    <row r="44" spans="1:3" x14ac:dyDescent="0.25">
      <c r="A44" s="3" t="s">
        <v>287</v>
      </c>
      <c r="B44" s="3" t="s">
        <v>668</v>
      </c>
      <c r="C44" s="3" t="s">
        <v>704</v>
      </c>
    </row>
    <row r="45" spans="1:3" x14ac:dyDescent="0.25">
      <c r="A45" s="3" t="s">
        <v>387</v>
      </c>
      <c r="B45" s="3" t="s">
        <v>669</v>
      </c>
      <c r="C45" s="3" t="s">
        <v>704</v>
      </c>
    </row>
    <row r="46" spans="1:3" x14ac:dyDescent="0.25">
      <c r="A46" s="3" t="s">
        <v>664</v>
      </c>
      <c r="B46" s="3" t="s">
        <v>670</v>
      </c>
      <c r="C46" s="3" t="s">
        <v>704</v>
      </c>
    </row>
    <row r="47" spans="1:3" x14ac:dyDescent="0.25">
      <c r="A47" s="3" t="s">
        <v>665</v>
      </c>
      <c r="B47" s="3" t="s">
        <v>671</v>
      </c>
      <c r="C47" s="3" t="s">
        <v>704</v>
      </c>
    </row>
    <row r="48" spans="1:3" x14ac:dyDescent="0.25">
      <c r="A48" s="3" t="s">
        <v>121</v>
      </c>
      <c r="B48" s="3" t="s">
        <v>119</v>
      </c>
      <c r="C48" s="3" t="s">
        <v>255</v>
      </c>
    </row>
    <row r="49" spans="1:3" x14ac:dyDescent="0.25">
      <c r="A49" s="3" t="s">
        <v>843</v>
      </c>
      <c r="B49" s="3" t="s">
        <v>1006</v>
      </c>
      <c r="C49" s="3" t="s">
        <v>256</v>
      </c>
    </row>
    <row r="50" spans="1:3" x14ac:dyDescent="0.25">
      <c r="A50" s="3" t="s">
        <v>1002</v>
      </c>
      <c r="B50" s="3" t="s">
        <v>1003</v>
      </c>
      <c r="C50" s="3" t="s">
        <v>706</v>
      </c>
    </row>
    <row r="51" spans="1:3" x14ac:dyDescent="0.25">
      <c r="A51" s="3" t="s">
        <v>1004</v>
      </c>
      <c r="B51" s="3" t="s">
        <v>844</v>
      </c>
      <c r="C51" s="3" t="s">
        <v>256</v>
      </c>
    </row>
    <row r="52" spans="1:3" x14ac:dyDescent="0.25">
      <c r="A52" s="3" t="s">
        <v>1005</v>
      </c>
      <c r="B52" s="3" t="s">
        <v>1007</v>
      </c>
      <c r="C52" s="3" t="s">
        <v>256</v>
      </c>
    </row>
    <row r="53" spans="1:3" x14ac:dyDescent="0.25">
      <c r="A53" s="3" t="s">
        <v>1027</v>
      </c>
      <c r="B53" s="3" t="s">
        <v>1034</v>
      </c>
      <c r="C53" s="3" t="s">
        <v>256</v>
      </c>
    </row>
    <row r="54" spans="1:3" x14ac:dyDescent="0.25">
      <c r="A54" s="3" t="s">
        <v>1028</v>
      </c>
      <c r="B54" s="3" t="s">
        <v>1033</v>
      </c>
      <c r="C54" s="3" t="s">
        <v>256</v>
      </c>
    </row>
    <row r="55" spans="1:3" x14ac:dyDescent="0.25">
      <c r="A55" s="3" t="s">
        <v>1037</v>
      </c>
      <c r="B55" s="3" t="s">
        <v>1038</v>
      </c>
      <c r="C55" s="3" t="s">
        <v>256</v>
      </c>
    </row>
    <row r="56" spans="1:3" x14ac:dyDescent="0.25">
      <c r="A56" s="3" t="s">
        <v>1070</v>
      </c>
      <c r="B56" s="3" t="s">
        <v>1071</v>
      </c>
      <c r="C56" s="3" t="s">
        <v>706</v>
      </c>
    </row>
    <row r="57" spans="1:3" x14ac:dyDescent="0.25">
      <c r="A57" s="3" t="s">
        <v>1069</v>
      </c>
      <c r="B57" s="3" t="s">
        <v>1073</v>
      </c>
      <c r="C57" s="3" t="s">
        <v>704</v>
      </c>
    </row>
    <row r="58" spans="1:3" x14ac:dyDescent="0.25">
      <c r="A58" s="3" t="s">
        <v>1114</v>
      </c>
      <c r="B58" s="3" t="s">
        <v>1120</v>
      </c>
      <c r="C58" s="3" t="s">
        <v>704</v>
      </c>
    </row>
    <row r="59" spans="1:3" x14ac:dyDescent="0.25">
      <c r="A59" s="3" t="s">
        <v>1128</v>
      </c>
      <c r="B59" s="3" t="s">
        <v>1072</v>
      </c>
      <c r="C59" s="3" t="s">
        <v>706</v>
      </c>
    </row>
    <row r="60" spans="1:3" x14ac:dyDescent="0.25">
      <c r="A60" s="3" t="s">
        <v>1129</v>
      </c>
      <c r="B60" s="3" t="s">
        <v>1136</v>
      </c>
      <c r="C60" s="3" t="s">
        <v>704</v>
      </c>
    </row>
    <row r="61" spans="1:3" x14ac:dyDescent="0.25">
      <c r="A61" s="3" t="s">
        <v>1144</v>
      </c>
      <c r="B61" s="3" t="s">
        <v>1145</v>
      </c>
      <c r="C61" s="3" t="s">
        <v>256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65591-E1D9-4140-9B4A-052A595F111C}">
  <sheetPr>
    <pageSetUpPr fitToPage="1"/>
  </sheetPr>
  <dimension ref="A1:AF352"/>
  <sheetViews>
    <sheetView rightToLeft="1" zoomScaleNormal="100" zoomScaleSheetLayoutView="50" workbookViewId="0">
      <pane ySplit="1" topLeftCell="A216" activePane="bottomLeft" state="frozen"/>
      <selection pane="bottomLeft" activeCell="S216" sqref="S216"/>
    </sheetView>
  </sheetViews>
  <sheetFormatPr defaultColWidth="9.140625" defaultRowHeight="15" x14ac:dyDescent="0.25"/>
  <cols>
    <col min="1" max="1" width="10.85546875" customWidth="1"/>
    <col min="2" max="2" width="12.42578125" bestFit="1" customWidth="1"/>
    <col min="3" max="4" width="10.5703125" customWidth="1"/>
    <col min="5" max="5" width="10.7109375" customWidth="1"/>
    <col min="6" max="6" width="11.7109375" customWidth="1"/>
    <col min="7" max="7" width="22.28515625" customWidth="1"/>
    <col min="8" max="8" width="34.140625" customWidth="1"/>
    <col min="9" max="9" width="87.140625" customWidth="1"/>
    <col min="10" max="10" width="30" customWidth="1"/>
    <col min="11" max="11" width="12" customWidth="1"/>
    <col min="12" max="12" width="13.7109375" customWidth="1"/>
    <col min="13" max="13" width="14.85546875" customWidth="1"/>
    <col min="14" max="14" width="21" customWidth="1"/>
    <col min="15" max="15" width="13.42578125" customWidth="1"/>
    <col min="16" max="16" width="21.85546875" customWidth="1"/>
    <col min="17" max="17" width="50.28515625" customWidth="1"/>
    <col min="18" max="18" width="34.7109375" customWidth="1"/>
    <col min="19" max="19" width="28.28515625" customWidth="1"/>
    <col min="20" max="20" width="33.28515625" customWidth="1"/>
    <col min="21" max="21" width="31.140625" customWidth="1"/>
    <col min="22" max="22" width="17.85546875" customWidth="1"/>
    <col min="23" max="23" width="12.5703125" customWidth="1"/>
    <col min="24" max="24" width="20.140625" customWidth="1"/>
    <col min="25" max="25" width="17.28515625" customWidth="1"/>
    <col min="26" max="26" width="12.85546875" customWidth="1"/>
    <col min="27" max="27" width="10" customWidth="1"/>
    <col min="28" max="28" width="19.42578125" customWidth="1"/>
    <col min="29" max="29" width="15.42578125" customWidth="1"/>
    <col min="30" max="30" width="14" bestFit="1" customWidth="1"/>
    <col min="31" max="31" width="44.42578125" style="13" customWidth="1"/>
    <col min="32" max="32" width="10.28515625" bestFit="1" customWidth="1"/>
  </cols>
  <sheetData>
    <row r="1" spans="1:32" s="3" customFormat="1" x14ac:dyDescent="0.25">
      <c r="A1" s="3" t="s">
        <v>548</v>
      </c>
      <c r="B1" s="3" t="s">
        <v>7</v>
      </c>
      <c r="C1" s="3" t="s">
        <v>10</v>
      </c>
      <c r="D1" s="3" t="s">
        <v>842</v>
      </c>
      <c r="E1" s="3" t="s">
        <v>549</v>
      </c>
      <c r="F1" s="3" t="s">
        <v>617</v>
      </c>
      <c r="G1" s="3" t="s">
        <v>254</v>
      </c>
      <c r="H1" s="3" t="s">
        <v>9</v>
      </c>
      <c r="I1" s="3" t="s">
        <v>252</v>
      </c>
      <c r="J1" s="3" t="s">
        <v>253</v>
      </c>
      <c r="K1" s="3" t="s">
        <v>4</v>
      </c>
      <c r="L1" s="3" t="s">
        <v>554</v>
      </c>
      <c r="M1" s="3" t="s">
        <v>5</v>
      </c>
      <c r="N1" s="3" t="s">
        <v>555</v>
      </c>
      <c r="O1" s="3" t="s">
        <v>6</v>
      </c>
      <c r="P1" s="3" t="s">
        <v>556</v>
      </c>
      <c r="Q1" s="3" t="s">
        <v>557</v>
      </c>
      <c r="R1" s="3" t="s">
        <v>558</v>
      </c>
      <c r="S1" s="3" t="s">
        <v>559</v>
      </c>
      <c r="T1" s="3" t="s">
        <v>12</v>
      </c>
      <c r="U1" s="3" t="s">
        <v>560</v>
      </c>
      <c r="V1" s="3" t="s">
        <v>11</v>
      </c>
      <c r="W1" s="3" t="s">
        <v>8</v>
      </c>
      <c r="X1" s="3" t="s">
        <v>125</v>
      </c>
      <c r="Y1" s="3" t="s">
        <v>1</v>
      </c>
      <c r="Z1" s="3" t="s">
        <v>2</v>
      </c>
      <c r="AA1" s="3" t="s">
        <v>24</v>
      </c>
      <c r="AB1" s="3" t="s">
        <v>959</v>
      </c>
      <c r="AC1" s="3" t="s">
        <v>25</v>
      </c>
      <c r="AD1" s="3" t="s">
        <v>550</v>
      </c>
      <c r="AE1" s="13" t="s">
        <v>3</v>
      </c>
      <c r="AF1" s="3" t="s">
        <v>347</v>
      </c>
    </row>
    <row r="2" spans="1:32" ht="30" hidden="1" x14ac:dyDescent="0.25">
      <c r="A2" s="11">
        <v>1</v>
      </c>
      <c r="B2" s="11">
        <v>194290</v>
      </c>
      <c r="C2" s="11" t="s">
        <v>34</v>
      </c>
      <c r="D2" s="11" t="str">
        <f>MID(Table22[[#This Row],[تاريخ تاييد]],1,7)</f>
        <v>1403/01</v>
      </c>
      <c r="E2" s="11" t="str">
        <f>MID(Table22[[#This Row],[تاريخ تاييد]],6,2)</f>
        <v>01</v>
      </c>
      <c r="F2" s="11" t="s">
        <v>618</v>
      </c>
      <c r="G2" s="11" t="str">
        <f>VLOOKUP(Table22[[#This Row],[شماره فني]],Sheet7!A:C,3,0)</f>
        <v>NOD</v>
      </c>
      <c r="H2" s="11" t="str">
        <f>VLOOKUP(Table22[[#This Row],[شماره فني]],Sheet7!A:B,2,0)</f>
        <v>NBCM DENA</v>
      </c>
      <c r="I2" s="11" t="s">
        <v>35</v>
      </c>
      <c r="J2" s="11" t="s">
        <v>725</v>
      </c>
      <c r="K2" s="11" t="s">
        <v>261</v>
      </c>
      <c r="L2" s="11" t="s">
        <v>261</v>
      </c>
      <c r="M2" s="11" t="s">
        <v>261</v>
      </c>
      <c r="N2" s="11" t="s">
        <v>261</v>
      </c>
      <c r="O2" s="11" t="s">
        <v>261</v>
      </c>
      <c r="P2" s="11" t="s">
        <v>261</v>
      </c>
      <c r="Q2" s="11" t="s">
        <v>261</v>
      </c>
      <c r="R2" s="11" t="s">
        <v>261</v>
      </c>
      <c r="S2" s="11" t="s">
        <v>739</v>
      </c>
      <c r="T2" s="11" t="s">
        <v>739</v>
      </c>
      <c r="U2" s="11" t="s">
        <v>739</v>
      </c>
      <c r="V2" s="11">
        <v>1</v>
      </c>
      <c r="W2" s="11" t="s">
        <v>16</v>
      </c>
      <c r="X2" s="11" t="s">
        <v>261</v>
      </c>
      <c r="Y2" s="11" t="s">
        <v>65</v>
      </c>
      <c r="Z2" s="11" t="s">
        <v>66</v>
      </c>
      <c r="AA2" s="11" t="s">
        <v>29</v>
      </c>
      <c r="AB2" s="11" t="s">
        <v>261</v>
      </c>
      <c r="AC2" s="11" t="s">
        <v>261</v>
      </c>
      <c r="AD2" s="11" t="s">
        <v>551</v>
      </c>
      <c r="AE2" s="12" t="s">
        <v>261</v>
      </c>
      <c r="AF2" s="11" t="s">
        <v>261</v>
      </c>
    </row>
    <row r="3" spans="1:32" ht="30" hidden="1" x14ac:dyDescent="0.25">
      <c r="A3" s="11">
        <v>1</v>
      </c>
      <c r="B3" s="11">
        <v>194407</v>
      </c>
      <c r="C3" s="11" t="s">
        <v>36</v>
      </c>
      <c r="D3" s="11" t="str">
        <f>MID(Table22[[#This Row],[تاريخ تاييد]],1,7)</f>
        <v>1403/01</v>
      </c>
      <c r="E3" s="11" t="str">
        <f>MID(Table22[[#This Row],[تاريخ تاييد]],6,2)</f>
        <v>01</v>
      </c>
      <c r="F3" s="11" t="s">
        <v>618</v>
      </c>
      <c r="G3" s="11" t="str">
        <f>VLOOKUP(Table22[[#This Row],[شماره فني]],Sheet7!A:C,3,0)</f>
        <v>جلو آمپر</v>
      </c>
      <c r="H3" s="11" t="str">
        <f>VLOOKUP(Table22[[#This Row],[شماره فني]],Sheet7!A:B,2,0)</f>
        <v>جلو آمپرSOREN TC 85 گانه</v>
      </c>
      <c r="I3" s="11" t="s">
        <v>37</v>
      </c>
      <c r="J3" s="11" t="s">
        <v>723</v>
      </c>
      <c r="K3" s="11" t="s">
        <v>261</v>
      </c>
      <c r="L3" s="11" t="s">
        <v>261</v>
      </c>
      <c r="M3" s="11" t="s">
        <v>261</v>
      </c>
      <c r="N3" s="11" t="s">
        <v>261</v>
      </c>
      <c r="O3" s="11" t="s">
        <v>261</v>
      </c>
      <c r="P3" s="11" t="s">
        <v>261</v>
      </c>
      <c r="Q3" s="11" t="s">
        <v>68</v>
      </c>
      <c r="R3" s="11" t="s">
        <v>261</v>
      </c>
      <c r="S3" s="11" t="s">
        <v>840</v>
      </c>
      <c r="T3" s="11" t="s">
        <v>257</v>
      </c>
      <c r="U3" s="11" t="s">
        <v>561</v>
      </c>
      <c r="V3" s="11">
        <v>50</v>
      </c>
      <c r="W3" s="11" t="s">
        <v>32</v>
      </c>
      <c r="X3" s="11" t="s">
        <v>261</v>
      </c>
      <c r="Y3" s="11" t="s">
        <v>261</v>
      </c>
      <c r="Z3" s="11" t="s">
        <v>261</v>
      </c>
      <c r="AA3" s="11" t="s">
        <v>28</v>
      </c>
      <c r="AB3" s="11" t="s">
        <v>261</v>
      </c>
      <c r="AC3" s="11" t="s">
        <v>261</v>
      </c>
      <c r="AD3" s="11" t="s">
        <v>551</v>
      </c>
      <c r="AE3" s="12" t="s">
        <v>261</v>
      </c>
      <c r="AF3" s="11" t="s">
        <v>261</v>
      </c>
    </row>
    <row r="4" spans="1:32" ht="45" hidden="1" x14ac:dyDescent="0.25">
      <c r="A4" s="11">
        <v>1</v>
      </c>
      <c r="B4" s="11">
        <v>194427</v>
      </c>
      <c r="C4" s="11" t="s">
        <v>36</v>
      </c>
      <c r="D4" s="11" t="str">
        <f>MID(Table22[[#This Row],[تاريخ تاييد]],1,7)</f>
        <v>1403/01</v>
      </c>
      <c r="E4" s="11" t="str">
        <f>MID(Table22[[#This Row],[تاريخ تاييد]],6,2)</f>
        <v>01</v>
      </c>
      <c r="F4" s="11" t="s">
        <v>618</v>
      </c>
      <c r="G4" s="11" t="str">
        <f>VLOOKUP(Table22[[#This Row],[شماره فني]],Sheet7!A:C,3,0)</f>
        <v>جلو آمپر</v>
      </c>
      <c r="H4" s="11" t="str">
        <f>VLOOKUP(Table22[[#This Row],[شماره فني]],Sheet7!A:B,2,0)</f>
        <v>جلو آمپر دنا اتوماتیک</v>
      </c>
      <c r="I4" s="11" t="s">
        <v>38</v>
      </c>
      <c r="J4" s="11" t="s">
        <v>335</v>
      </c>
      <c r="K4" s="11" t="s">
        <v>261</v>
      </c>
      <c r="L4" s="11" t="s">
        <v>261</v>
      </c>
      <c r="M4" s="11" t="s">
        <v>261</v>
      </c>
      <c r="N4" s="11" t="s">
        <v>261</v>
      </c>
      <c r="O4" s="11" t="s">
        <v>261</v>
      </c>
      <c r="P4" s="11" t="s">
        <v>261</v>
      </c>
      <c r="Q4" s="11" t="s">
        <v>961</v>
      </c>
      <c r="R4" s="11" t="s">
        <v>261</v>
      </c>
      <c r="S4" s="11" t="s">
        <v>261</v>
      </c>
      <c r="T4" s="11" t="s">
        <v>552</v>
      </c>
      <c r="U4" s="11" t="s">
        <v>784</v>
      </c>
      <c r="V4" s="11">
        <v>1</v>
      </c>
      <c r="W4" s="11" t="s">
        <v>21</v>
      </c>
      <c r="X4" s="11" t="s">
        <v>261</v>
      </c>
      <c r="Y4" s="11" t="s">
        <v>261</v>
      </c>
      <c r="Z4" s="11" t="s">
        <v>261</v>
      </c>
      <c r="AA4" s="11" t="s">
        <v>583</v>
      </c>
      <c r="AB4" s="11" t="s">
        <v>261</v>
      </c>
      <c r="AC4" s="11" t="s">
        <v>261</v>
      </c>
      <c r="AD4" s="11" t="s">
        <v>551</v>
      </c>
      <c r="AE4" s="12" t="s">
        <v>261</v>
      </c>
      <c r="AF4" s="11" t="s">
        <v>261</v>
      </c>
    </row>
    <row r="5" spans="1:32" ht="45" hidden="1" x14ac:dyDescent="0.25">
      <c r="A5" s="11">
        <v>1</v>
      </c>
      <c r="B5" s="11">
        <v>194486</v>
      </c>
      <c r="C5" s="11" t="s">
        <v>39</v>
      </c>
      <c r="D5" s="11" t="str">
        <f>MID(Table22[[#This Row],[تاريخ تاييد]],1,7)</f>
        <v>1403/01</v>
      </c>
      <c r="E5" s="11" t="str">
        <f>MID(Table22[[#This Row],[تاريخ تاييد]],6,2)</f>
        <v>01</v>
      </c>
      <c r="F5" s="11" t="s">
        <v>618</v>
      </c>
      <c r="G5" s="11" t="str">
        <f>VLOOKUP(Table22[[#This Row],[شماره فني]],Sheet7!A:C,3,0)</f>
        <v>NOD</v>
      </c>
      <c r="H5" s="11" t="str">
        <f>VLOOKUP(Table22[[#This Row],[شماره فني]],Sheet7!A:B,2,0)</f>
        <v>NBCM 207</v>
      </c>
      <c r="I5" s="11" t="s">
        <v>40</v>
      </c>
      <c r="J5" s="11" t="s">
        <v>230</v>
      </c>
      <c r="K5" s="11" t="s">
        <v>261</v>
      </c>
      <c r="L5" s="11" t="s">
        <v>261</v>
      </c>
      <c r="M5" s="11" t="s">
        <v>261</v>
      </c>
      <c r="N5" s="11" t="s">
        <v>261</v>
      </c>
      <c r="O5" s="11" t="s">
        <v>261</v>
      </c>
      <c r="P5" s="11" t="s">
        <v>261</v>
      </c>
      <c r="Q5" s="11" t="s">
        <v>961</v>
      </c>
      <c r="R5" s="11" t="s">
        <v>261</v>
      </c>
      <c r="S5" s="11" t="s">
        <v>261</v>
      </c>
      <c r="T5" s="11" t="s">
        <v>552</v>
      </c>
      <c r="U5" s="11" t="s">
        <v>784</v>
      </c>
      <c r="V5" s="11">
        <v>1</v>
      </c>
      <c r="W5" s="11" t="s">
        <v>19</v>
      </c>
      <c r="X5" s="11" t="s">
        <v>261</v>
      </c>
      <c r="Y5" s="11" t="s">
        <v>261</v>
      </c>
      <c r="Z5" s="11" t="s">
        <v>261</v>
      </c>
      <c r="AA5" s="11" t="s">
        <v>583</v>
      </c>
      <c r="AB5" s="11" t="s">
        <v>261</v>
      </c>
      <c r="AC5" s="11" t="s">
        <v>261</v>
      </c>
      <c r="AD5" s="11" t="s">
        <v>551</v>
      </c>
      <c r="AE5" s="12" t="s">
        <v>261</v>
      </c>
      <c r="AF5" s="11" t="s">
        <v>261</v>
      </c>
    </row>
    <row r="6" spans="1:32" ht="60.75" hidden="1" customHeight="1" x14ac:dyDescent="0.25">
      <c r="A6" s="11">
        <v>1</v>
      </c>
      <c r="B6" s="11">
        <v>194549</v>
      </c>
      <c r="C6" s="11" t="s">
        <v>39</v>
      </c>
      <c r="D6" s="11" t="str">
        <f>MID(Table22[[#This Row],[تاريخ تاييد]],1,7)</f>
        <v>1403/01</v>
      </c>
      <c r="E6" s="11" t="str">
        <f>MID(Table22[[#This Row],[تاريخ تاييد]],6,2)</f>
        <v>01</v>
      </c>
      <c r="F6" s="11" t="s">
        <v>618</v>
      </c>
      <c r="G6" s="11" t="str">
        <f>VLOOKUP(Table22[[#This Row],[شماره فني]],Sheet7!A:C,3,0)</f>
        <v>جلو آمپر</v>
      </c>
      <c r="H6" s="11" t="str">
        <f>VLOOKUP(Table22[[#This Row],[شماره فني]],Sheet7!A:B,2,0)</f>
        <v>جلو آمپر دنا اتوماتیک</v>
      </c>
      <c r="I6" s="11" t="s">
        <v>41</v>
      </c>
      <c r="J6" s="11" t="s">
        <v>231</v>
      </c>
      <c r="K6" s="11" t="s">
        <v>22</v>
      </c>
      <c r="L6" s="11" t="s">
        <v>158</v>
      </c>
      <c r="M6" s="11" t="s">
        <v>261</v>
      </c>
      <c r="N6" s="11" t="s">
        <v>261</v>
      </c>
      <c r="O6" s="11" t="s">
        <v>261</v>
      </c>
      <c r="P6" s="11" t="s">
        <v>261</v>
      </c>
      <c r="Q6" s="11" t="s">
        <v>159</v>
      </c>
      <c r="R6" s="11" t="s">
        <v>160</v>
      </c>
      <c r="S6" s="11" t="s">
        <v>231</v>
      </c>
      <c r="T6" s="11" t="s">
        <v>797</v>
      </c>
      <c r="U6" s="11" t="s">
        <v>561</v>
      </c>
      <c r="V6" s="11">
        <v>1</v>
      </c>
      <c r="W6" s="11" t="s">
        <v>21</v>
      </c>
      <c r="X6" s="11" t="s">
        <v>173</v>
      </c>
      <c r="Y6" s="11" t="s">
        <v>158</v>
      </c>
      <c r="Z6" s="11" t="s">
        <v>66</v>
      </c>
      <c r="AA6" s="11" t="s">
        <v>28</v>
      </c>
      <c r="AB6" s="11" t="s">
        <v>261</v>
      </c>
      <c r="AC6" s="11" t="s">
        <v>261</v>
      </c>
      <c r="AD6" s="11" t="s">
        <v>551</v>
      </c>
      <c r="AE6" s="12" t="s">
        <v>261</v>
      </c>
      <c r="AF6" s="11" t="s">
        <v>261</v>
      </c>
    </row>
    <row r="7" spans="1:32" ht="60.75" hidden="1" customHeight="1" x14ac:dyDescent="0.25">
      <c r="A7" s="11">
        <v>1</v>
      </c>
      <c r="B7" s="11">
        <v>194583</v>
      </c>
      <c r="C7" s="11" t="s">
        <v>42</v>
      </c>
      <c r="D7" s="11" t="str">
        <f>MID(Table22[[#This Row],[تاريخ تاييد]],1,7)</f>
        <v>1403/01</v>
      </c>
      <c r="E7" s="11" t="str">
        <f>MID(Table22[[#This Row],[تاريخ تاييد]],6,2)</f>
        <v>01</v>
      </c>
      <c r="F7" s="11" t="s">
        <v>618</v>
      </c>
      <c r="G7" s="11" t="str">
        <f>VLOOKUP(Table22[[#This Row],[شماره فني]],Sheet7!A:C,3,0)</f>
        <v>NOD</v>
      </c>
      <c r="H7" s="11" t="str">
        <f>VLOOKUP(Table22[[#This Row],[شماره فني]],Sheet7!A:B,2,0)</f>
        <v>NBCM DENA</v>
      </c>
      <c r="I7" s="11" t="s">
        <v>43</v>
      </c>
      <c r="J7" s="11" t="s">
        <v>334</v>
      </c>
      <c r="K7" s="11" t="s">
        <v>261</v>
      </c>
      <c r="L7" s="11" t="s">
        <v>261</v>
      </c>
      <c r="M7" s="11" t="s">
        <v>261</v>
      </c>
      <c r="N7" s="11" t="s">
        <v>261</v>
      </c>
      <c r="O7" s="11" t="s">
        <v>261</v>
      </c>
      <c r="P7" s="11" t="s">
        <v>261</v>
      </c>
      <c r="Q7" s="11" t="s">
        <v>961</v>
      </c>
      <c r="R7" s="11" t="s">
        <v>261</v>
      </c>
      <c r="S7" s="11" t="s">
        <v>261</v>
      </c>
      <c r="T7" s="11" t="s">
        <v>552</v>
      </c>
      <c r="U7" s="11" t="s">
        <v>784</v>
      </c>
      <c r="V7" s="11">
        <v>1</v>
      </c>
      <c r="W7" s="11" t="s">
        <v>16</v>
      </c>
      <c r="X7" s="11" t="s">
        <v>261</v>
      </c>
      <c r="Y7" s="11" t="s">
        <v>261</v>
      </c>
      <c r="Z7" s="11" t="s">
        <v>261</v>
      </c>
      <c r="AA7" s="11" t="s">
        <v>583</v>
      </c>
      <c r="AB7" s="11" t="s">
        <v>261</v>
      </c>
      <c r="AC7" s="11" t="s">
        <v>261</v>
      </c>
      <c r="AD7" s="11" t="s">
        <v>551</v>
      </c>
      <c r="AE7" s="12" t="s">
        <v>261</v>
      </c>
      <c r="AF7" s="11" t="s">
        <v>261</v>
      </c>
    </row>
    <row r="8" spans="1:32" ht="60.75" hidden="1" customHeight="1" x14ac:dyDescent="0.25">
      <c r="A8" s="11">
        <v>1</v>
      </c>
      <c r="B8" s="11">
        <v>194584</v>
      </c>
      <c r="C8" s="11" t="s">
        <v>42</v>
      </c>
      <c r="D8" s="11" t="str">
        <f>MID(Table22[[#This Row],[تاريخ تاييد]],1,7)</f>
        <v>1403/01</v>
      </c>
      <c r="E8" s="11" t="str">
        <f>MID(Table22[[#This Row],[تاريخ تاييد]],6,2)</f>
        <v>01</v>
      </c>
      <c r="F8" s="11" t="s">
        <v>618</v>
      </c>
      <c r="G8" s="11" t="str">
        <f>VLOOKUP(Table22[[#This Row],[شماره فني]],Sheet7!A:C,3,0)</f>
        <v>جلو آمپر</v>
      </c>
      <c r="H8" s="11" t="str">
        <f>VLOOKUP(Table22[[#This Row],[شماره فني]],Sheet7!A:B,2,0)</f>
        <v>جلو آمپر207  معمولی85 گانه</v>
      </c>
      <c r="I8" s="11" t="s">
        <v>44</v>
      </c>
      <c r="J8" s="11" t="s">
        <v>725</v>
      </c>
      <c r="K8" s="11" t="s">
        <v>261</v>
      </c>
      <c r="L8" s="11" t="s">
        <v>261</v>
      </c>
      <c r="M8" s="11" t="s">
        <v>261</v>
      </c>
      <c r="N8" s="11" t="s">
        <v>261</v>
      </c>
      <c r="O8" s="11" t="s">
        <v>261</v>
      </c>
      <c r="P8" s="11" t="s">
        <v>261</v>
      </c>
      <c r="Q8" s="11" t="s">
        <v>961</v>
      </c>
      <c r="R8" s="11" t="s">
        <v>261</v>
      </c>
      <c r="S8" s="11" t="s">
        <v>261</v>
      </c>
      <c r="T8" s="11" t="s">
        <v>552</v>
      </c>
      <c r="U8" s="11" t="s">
        <v>784</v>
      </c>
      <c r="V8" s="11">
        <v>1</v>
      </c>
      <c r="W8" s="11" t="s">
        <v>30</v>
      </c>
      <c r="X8" s="11" t="s">
        <v>261</v>
      </c>
      <c r="Y8" s="11" t="s">
        <v>261</v>
      </c>
      <c r="Z8" s="11" t="s">
        <v>261</v>
      </c>
      <c r="AA8" s="11" t="s">
        <v>583</v>
      </c>
      <c r="AB8" s="11" t="s">
        <v>261</v>
      </c>
      <c r="AC8" s="11" t="s">
        <v>261</v>
      </c>
      <c r="AD8" s="11" t="s">
        <v>551</v>
      </c>
      <c r="AE8" s="12" t="s">
        <v>261</v>
      </c>
      <c r="AF8" s="11" t="s">
        <v>261</v>
      </c>
    </row>
    <row r="9" spans="1:32" ht="30" hidden="1" x14ac:dyDescent="0.25">
      <c r="A9" s="11">
        <v>1</v>
      </c>
      <c r="B9" s="11">
        <v>194773</v>
      </c>
      <c r="C9" s="11" t="s">
        <v>45</v>
      </c>
      <c r="D9" s="11" t="str">
        <f>MID(Table22[[#This Row],[تاريخ تاييد]],1,7)</f>
        <v>1403/01</v>
      </c>
      <c r="E9" s="11" t="str">
        <f>MID(Table22[[#This Row],[تاريخ تاييد]],6,2)</f>
        <v>01</v>
      </c>
      <c r="F9" s="11" t="s">
        <v>618</v>
      </c>
      <c r="G9" s="11" t="str">
        <f>VLOOKUP(Table22[[#This Row],[شماره فني]],Sheet7!A:C,3,0)</f>
        <v>NOD</v>
      </c>
      <c r="H9" s="11" t="str">
        <f>VLOOKUP(Table22[[#This Row],[شماره فني]],Sheet7!A:B,2,0)</f>
        <v>NBCM 207</v>
      </c>
      <c r="I9" s="11" t="s">
        <v>46</v>
      </c>
      <c r="J9" s="11" t="s">
        <v>334</v>
      </c>
      <c r="K9" s="11" t="s">
        <v>22</v>
      </c>
      <c r="L9" s="11" t="s">
        <v>65</v>
      </c>
      <c r="M9" s="11" t="s">
        <v>261</v>
      </c>
      <c r="N9" s="11" t="s">
        <v>261</v>
      </c>
      <c r="O9" s="11" t="s">
        <v>261</v>
      </c>
      <c r="P9" s="11" t="s">
        <v>261</v>
      </c>
      <c r="Q9" s="11" t="s">
        <v>67</v>
      </c>
      <c r="R9" s="11" t="s">
        <v>954</v>
      </c>
      <c r="S9" s="12" t="s">
        <v>829</v>
      </c>
      <c r="T9" s="11" t="s">
        <v>824</v>
      </c>
      <c r="U9" s="11" t="s">
        <v>562</v>
      </c>
      <c r="V9" s="11">
        <v>1</v>
      </c>
      <c r="W9" s="11" t="s">
        <v>19</v>
      </c>
      <c r="X9" s="11" t="s">
        <v>135</v>
      </c>
      <c r="Y9" s="11" t="s">
        <v>65</v>
      </c>
      <c r="Z9" s="11" t="s">
        <v>66</v>
      </c>
      <c r="AA9" s="11" t="s">
        <v>27</v>
      </c>
      <c r="AB9" s="11" t="s">
        <v>986</v>
      </c>
      <c r="AC9" s="11" t="s">
        <v>261</v>
      </c>
      <c r="AD9" s="11" t="s">
        <v>551</v>
      </c>
      <c r="AE9" s="12" t="s">
        <v>261</v>
      </c>
      <c r="AF9" s="11" t="s">
        <v>261</v>
      </c>
    </row>
    <row r="10" spans="1:32" ht="30" hidden="1" x14ac:dyDescent="0.25">
      <c r="A10" s="11">
        <v>1</v>
      </c>
      <c r="B10" s="11">
        <v>194942</v>
      </c>
      <c r="C10" s="11" t="s">
        <v>47</v>
      </c>
      <c r="D10" s="11" t="str">
        <f>MID(Table22[[#This Row],[تاريخ تاييد]],1,7)</f>
        <v>1403/02</v>
      </c>
      <c r="E10" s="11" t="str">
        <f>MID(Table22[[#This Row],[تاريخ تاييد]],6,2)</f>
        <v>02</v>
      </c>
      <c r="F10" s="11" t="s">
        <v>618</v>
      </c>
      <c r="G10" s="11" t="str">
        <f>VLOOKUP(Table22[[#This Row],[شماره فني]],Sheet7!A:C,3,0)</f>
        <v>جلو آمپر</v>
      </c>
      <c r="H10" s="11" t="str">
        <f>VLOOKUP(Table22[[#This Row],[شماره فني]],Sheet7!A:B,2,0)</f>
        <v>جلو آمپر دنا اتوماتیک</v>
      </c>
      <c r="I10" s="11" t="s">
        <v>48</v>
      </c>
      <c r="J10" s="11" t="s">
        <v>231</v>
      </c>
      <c r="K10" s="11" t="s">
        <v>23</v>
      </c>
      <c r="L10" s="11" t="s">
        <v>65</v>
      </c>
      <c r="M10" s="11" t="s">
        <v>22</v>
      </c>
      <c r="N10" s="11" t="s">
        <v>183</v>
      </c>
      <c r="O10" s="11" t="s">
        <v>261</v>
      </c>
      <c r="P10" s="11" t="s">
        <v>261</v>
      </c>
      <c r="Q10" s="11" t="s">
        <v>69</v>
      </c>
      <c r="R10" s="11" t="s">
        <v>184</v>
      </c>
      <c r="S10" s="11" t="s">
        <v>231</v>
      </c>
      <c r="T10" s="11" t="s">
        <v>797</v>
      </c>
      <c r="U10" s="11" t="s">
        <v>561</v>
      </c>
      <c r="V10" s="11">
        <v>1</v>
      </c>
      <c r="W10" s="11" t="s">
        <v>21</v>
      </c>
      <c r="X10" s="11" t="s">
        <v>141</v>
      </c>
      <c r="Y10" s="11" t="s">
        <v>65</v>
      </c>
      <c r="Z10" s="11" t="s">
        <v>66</v>
      </c>
      <c r="AA10" s="11" t="s">
        <v>28</v>
      </c>
      <c r="AB10" s="11" t="s">
        <v>261</v>
      </c>
      <c r="AC10" s="11" t="s">
        <v>261</v>
      </c>
      <c r="AD10" s="11" t="s">
        <v>551</v>
      </c>
      <c r="AE10" s="12" t="s">
        <v>261</v>
      </c>
      <c r="AF10" s="11" t="s">
        <v>261</v>
      </c>
    </row>
    <row r="11" spans="1:32" ht="30" hidden="1" x14ac:dyDescent="0.25">
      <c r="A11" s="11">
        <v>1</v>
      </c>
      <c r="B11" s="11">
        <v>194984</v>
      </c>
      <c r="C11" s="11" t="s">
        <v>47</v>
      </c>
      <c r="D11" s="11" t="str">
        <f>MID(Table22[[#This Row],[تاريخ تاييد]],1,7)</f>
        <v>1403/02</v>
      </c>
      <c r="E11" s="11" t="str">
        <f>MID(Table22[[#This Row],[تاريخ تاييد]],6,2)</f>
        <v>02</v>
      </c>
      <c r="F11" s="11" t="s">
        <v>618</v>
      </c>
      <c r="G11" s="11" t="str">
        <f>VLOOKUP(Table22[[#This Row],[شماره فني]],Sheet7!A:C,3,0)</f>
        <v>NOD</v>
      </c>
      <c r="H11" s="11" t="str">
        <f>VLOOKUP(Table22[[#This Row],[شماره فني]],Sheet7!A:B,2,0)</f>
        <v>NBCM 207</v>
      </c>
      <c r="I11" s="11" t="s">
        <v>49</v>
      </c>
      <c r="J11" s="11" t="s">
        <v>334</v>
      </c>
      <c r="K11" s="11" t="s">
        <v>22</v>
      </c>
      <c r="L11" s="11" t="s">
        <v>65</v>
      </c>
      <c r="M11" s="11" t="s">
        <v>261</v>
      </c>
      <c r="N11" s="11" t="s">
        <v>261</v>
      </c>
      <c r="O11" s="11" t="s">
        <v>261</v>
      </c>
      <c r="P11" s="11" t="s">
        <v>261</v>
      </c>
      <c r="Q11" s="11" t="s">
        <v>261</v>
      </c>
      <c r="R11" s="11" t="s">
        <v>124</v>
      </c>
      <c r="S11" s="11" t="s">
        <v>799</v>
      </c>
      <c r="T11" s="11" t="s">
        <v>813</v>
      </c>
      <c r="U11" s="11" t="s">
        <v>563</v>
      </c>
      <c r="V11" s="11">
        <v>1</v>
      </c>
      <c r="W11" s="11" t="s">
        <v>19</v>
      </c>
      <c r="X11" s="11" t="s">
        <v>136</v>
      </c>
      <c r="Y11" s="11" t="s">
        <v>65</v>
      </c>
      <c r="Z11" s="11" t="s">
        <v>66</v>
      </c>
      <c r="AA11" s="11" t="s">
        <v>27</v>
      </c>
      <c r="AB11" s="11" t="s">
        <v>987</v>
      </c>
      <c r="AC11" s="11" t="s">
        <v>261</v>
      </c>
      <c r="AD11" s="11" t="s">
        <v>551</v>
      </c>
      <c r="AE11" s="12" t="s">
        <v>261</v>
      </c>
      <c r="AF11" s="11" t="s">
        <v>261</v>
      </c>
    </row>
    <row r="12" spans="1:32" ht="30" hidden="1" x14ac:dyDescent="0.25">
      <c r="A12" s="11">
        <v>1</v>
      </c>
      <c r="B12" s="11">
        <v>194985</v>
      </c>
      <c r="C12" s="11" t="s">
        <v>47</v>
      </c>
      <c r="D12" s="11" t="str">
        <f>MID(Table22[[#This Row],[تاريخ تاييد]],1,7)</f>
        <v>1403/02</v>
      </c>
      <c r="E12" s="11" t="str">
        <f>MID(Table22[[#This Row],[تاريخ تاييد]],6,2)</f>
        <v>02</v>
      </c>
      <c r="F12" s="11" t="s">
        <v>618</v>
      </c>
      <c r="G12" s="11" t="str">
        <f>VLOOKUP(Table22[[#This Row],[شماره فني]],Sheet7!A:C,3,0)</f>
        <v>جلو آمپر</v>
      </c>
      <c r="H12" s="11" t="str">
        <f>VLOOKUP(Table22[[#This Row],[شماره فني]],Sheet7!A:B,2,0)</f>
        <v>جلو آمپر207 اتوماتیک85 گانه</v>
      </c>
      <c r="I12" s="11" t="s">
        <v>50</v>
      </c>
      <c r="J12" s="11" t="s">
        <v>334</v>
      </c>
      <c r="K12" s="11" t="s">
        <v>22</v>
      </c>
      <c r="L12" s="11" t="s">
        <v>65</v>
      </c>
      <c r="M12" s="11" t="s">
        <v>261</v>
      </c>
      <c r="N12" s="11" t="s">
        <v>261</v>
      </c>
      <c r="O12" s="11" t="s">
        <v>261</v>
      </c>
      <c r="P12" s="11" t="s">
        <v>261</v>
      </c>
      <c r="Q12" s="11" t="s">
        <v>70</v>
      </c>
      <c r="R12" s="11" t="s">
        <v>71</v>
      </c>
      <c r="S12" s="11" t="s">
        <v>816</v>
      </c>
      <c r="T12" s="11" t="s">
        <v>815</v>
      </c>
      <c r="U12" s="11" t="s">
        <v>564</v>
      </c>
      <c r="V12" s="11">
        <v>1</v>
      </c>
      <c r="W12" s="11" t="s">
        <v>31</v>
      </c>
      <c r="X12" s="11" t="s">
        <v>142</v>
      </c>
      <c r="Y12" s="11" t="s">
        <v>65</v>
      </c>
      <c r="Z12" s="11" t="s">
        <v>66</v>
      </c>
      <c r="AA12" s="11" t="s">
        <v>29</v>
      </c>
      <c r="AB12" s="11" t="s">
        <v>261</v>
      </c>
      <c r="AC12" s="11" t="s">
        <v>261</v>
      </c>
      <c r="AD12" s="11" t="s">
        <v>551</v>
      </c>
      <c r="AE12" s="12" t="s">
        <v>261</v>
      </c>
      <c r="AF12" s="11" t="s">
        <v>261</v>
      </c>
    </row>
    <row r="13" spans="1:32" ht="30" hidden="1" x14ac:dyDescent="0.25">
      <c r="A13" s="11">
        <v>1</v>
      </c>
      <c r="B13" s="11">
        <v>194986</v>
      </c>
      <c r="C13" s="11" t="s">
        <v>47</v>
      </c>
      <c r="D13" s="11" t="str">
        <f>MID(Table22[[#This Row],[تاريخ تاييد]],1,7)</f>
        <v>1403/02</v>
      </c>
      <c r="E13" s="11" t="str">
        <f>MID(Table22[[#This Row],[تاريخ تاييد]],6,2)</f>
        <v>02</v>
      </c>
      <c r="F13" s="11" t="s">
        <v>618</v>
      </c>
      <c r="G13" s="11" t="str">
        <f>VLOOKUP(Table22[[#This Row],[شماره فني]],Sheet7!A:C,3,0)</f>
        <v>NOD</v>
      </c>
      <c r="H13" s="11" t="str">
        <f>VLOOKUP(Table22[[#This Row],[شماره فني]],Sheet7!A:B,2,0)</f>
        <v>NBCM DENA</v>
      </c>
      <c r="I13" s="11" t="s">
        <v>51</v>
      </c>
      <c r="J13" s="11" t="s">
        <v>725</v>
      </c>
      <c r="K13" s="11" t="s">
        <v>261</v>
      </c>
      <c r="L13" s="11" t="s">
        <v>261</v>
      </c>
      <c r="M13" s="11" t="s">
        <v>261</v>
      </c>
      <c r="N13" s="11" t="s">
        <v>261</v>
      </c>
      <c r="O13" s="11" t="s">
        <v>261</v>
      </c>
      <c r="P13" s="11" t="s">
        <v>261</v>
      </c>
      <c r="Q13" s="11" t="s">
        <v>261</v>
      </c>
      <c r="R13" s="11" t="s">
        <v>261</v>
      </c>
      <c r="S13" s="11" t="s">
        <v>985</v>
      </c>
      <c r="T13" s="11" t="s">
        <v>738</v>
      </c>
      <c r="U13" s="11" t="s">
        <v>737</v>
      </c>
      <c r="V13" s="11">
        <v>3</v>
      </c>
      <c r="W13" s="11" t="s">
        <v>16</v>
      </c>
      <c r="X13" s="11" t="s">
        <v>261</v>
      </c>
      <c r="Y13" s="11" t="s">
        <v>261</v>
      </c>
      <c r="Z13" s="11" t="s">
        <v>261</v>
      </c>
      <c r="AA13" s="11" t="s">
        <v>27</v>
      </c>
      <c r="AB13" s="11" t="s">
        <v>988</v>
      </c>
      <c r="AC13" s="11" t="s">
        <v>261</v>
      </c>
      <c r="AD13" s="11" t="s">
        <v>551</v>
      </c>
      <c r="AE13" s="12" t="s">
        <v>261</v>
      </c>
      <c r="AF13" s="11" t="s">
        <v>261</v>
      </c>
    </row>
    <row r="14" spans="1:32" ht="68.25" hidden="1" customHeight="1" x14ac:dyDescent="0.25">
      <c r="A14" s="11">
        <v>1</v>
      </c>
      <c r="B14" s="11">
        <v>195015</v>
      </c>
      <c r="C14" s="11" t="s">
        <v>47</v>
      </c>
      <c r="D14" s="11" t="str">
        <f>MID(Table22[[#This Row],[تاريخ تاييد]],1,7)</f>
        <v>1403/02</v>
      </c>
      <c r="E14" s="11" t="str">
        <f>MID(Table22[[#This Row],[تاريخ تاييد]],6,2)</f>
        <v>02</v>
      </c>
      <c r="F14" s="11" t="s">
        <v>618</v>
      </c>
      <c r="G14" s="11" t="str">
        <f>VLOOKUP(Table22[[#This Row],[شماره فني]],Sheet7!A:C,3,0)</f>
        <v>جلو آمپر</v>
      </c>
      <c r="H14" s="11" t="str">
        <f>VLOOKUP(Table22[[#This Row],[شماره فني]],Sheet7!A:B,2,0)</f>
        <v>جلو آمپر دنا اتوماتیک</v>
      </c>
      <c r="I14" s="11" t="s">
        <v>52</v>
      </c>
      <c r="J14" s="11" t="s">
        <v>723</v>
      </c>
      <c r="K14" s="11" t="s">
        <v>261</v>
      </c>
      <c r="L14" s="11" t="s">
        <v>261</v>
      </c>
      <c r="M14" s="11" t="s">
        <v>261</v>
      </c>
      <c r="N14" s="11" t="s">
        <v>261</v>
      </c>
      <c r="O14" s="11" t="s">
        <v>261</v>
      </c>
      <c r="P14" s="11" t="s">
        <v>261</v>
      </c>
      <c r="Q14" s="11" t="s">
        <v>68</v>
      </c>
      <c r="R14" s="11" t="s">
        <v>261</v>
      </c>
      <c r="S14" s="11" t="s">
        <v>840</v>
      </c>
      <c r="T14" s="11" t="s">
        <v>257</v>
      </c>
      <c r="U14" s="11" t="s">
        <v>561</v>
      </c>
      <c r="V14" s="11">
        <v>1</v>
      </c>
      <c r="W14" s="11" t="s">
        <v>21</v>
      </c>
      <c r="X14" s="11" t="s">
        <v>140</v>
      </c>
      <c r="Y14" s="11" t="s">
        <v>65</v>
      </c>
      <c r="Z14" s="11" t="s">
        <v>66</v>
      </c>
      <c r="AA14" s="11" t="s">
        <v>28</v>
      </c>
      <c r="AB14" s="11" t="s">
        <v>261</v>
      </c>
      <c r="AC14" s="11" t="s">
        <v>261</v>
      </c>
      <c r="AD14" s="11" t="s">
        <v>551</v>
      </c>
      <c r="AE14" s="12" t="s">
        <v>261</v>
      </c>
      <c r="AF14" s="11" t="s">
        <v>261</v>
      </c>
    </row>
    <row r="15" spans="1:32" ht="30" hidden="1" x14ac:dyDescent="0.25">
      <c r="A15" s="11">
        <v>1</v>
      </c>
      <c r="B15" s="11">
        <v>195073</v>
      </c>
      <c r="C15" s="11" t="s">
        <v>53</v>
      </c>
      <c r="D15" s="11" t="str">
        <f>MID(Table22[[#This Row],[تاريخ تاييد]],1,7)</f>
        <v>1403/02</v>
      </c>
      <c r="E15" s="11" t="str">
        <f>MID(Table22[[#This Row],[تاريخ تاييد]],6,2)</f>
        <v>02</v>
      </c>
      <c r="F15" s="11" t="s">
        <v>618</v>
      </c>
      <c r="G15" s="11" t="str">
        <f>VLOOKUP(Table22[[#This Row],[شماره فني]],Sheet7!A:C,3,0)</f>
        <v>NOD</v>
      </c>
      <c r="H15" s="11" t="str">
        <f>VLOOKUP(Table22[[#This Row],[شماره فني]],Sheet7!A:B,2,0)</f>
        <v>NBCM DENA</v>
      </c>
      <c r="I15" s="11" t="s">
        <v>54</v>
      </c>
      <c r="J15" s="11" t="s">
        <v>485</v>
      </c>
      <c r="K15" s="11" t="s">
        <v>23</v>
      </c>
      <c r="L15" s="11" t="s">
        <v>65</v>
      </c>
      <c r="M15" s="11" t="s">
        <v>261</v>
      </c>
      <c r="N15" s="11" t="s">
        <v>261</v>
      </c>
      <c r="O15" s="11" t="s">
        <v>261</v>
      </c>
      <c r="P15" s="11" t="s">
        <v>261</v>
      </c>
      <c r="Q15" s="11" t="s">
        <v>111</v>
      </c>
      <c r="R15" s="11" t="s">
        <v>5</v>
      </c>
      <c r="S15" s="11" t="s">
        <v>978</v>
      </c>
      <c r="T15" s="11" t="s">
        <v>583</v>
      </c>
      <c r="U15" s="11" t="s">
        <v>583</v>
      </c>
      <c r="V15" s="11">
        <v>1</v>
      </c>
      <c r="W15" s="11" t="s">
        <v>16</v>
      </c>
      <c r="X15" s="11" t="s">
        <v>143</v>
      </c>
      <c r="Y15" s="11" t="s">
        <v>65</v>
      </c>
      <c r="Z15" s="11" t="s">
        <v>66</v>
      </c>
      <c r="AA15" s="11" t="s">
        <v>29</v>
      </c>
      <c r="AB15" s="11" t="s">
        <v>261</v>
      </c>
      <c r="AC15" s="11" t="s">
        <v>261</v>
      </c>
      <c r="AD15" s="11" t="s">
        <v>551</v>
      </c>
      <c r="AE15" s="12" t="s">
        <v>261</v>
      </c>
      <c r="AF15" s="11" t="s">
        <v>261</v>
      </c>
    </row>
    <row r="16" spans="1:32" ht="30" hidden="1" x14ac:dyDescent="0.25">
      <c r="A16" s="11">
        <v>1</v>
      </c>
      <c r="B16" s="11">
        <v>195174</v>
      </c>
      <c r="C16" s="11" t="s">
        <v>55</v>
      </c>
      <c r="D16" s="11" t="str">
        <f>MID(Table22[[#This Row],[تاريخ تاييد]],1,7)</f>
        <v>1403/02</v>
      </c>
      <c r="E16" s="11" t="str">
        <f>MID(Table22[[#This Row],[تاريخ تاييد]],6,2)</f>
        <v>02</v>
      </c>
      <c r="F16" s="11" t="s">
        <v>618</v>
      </c>
      <c r="G16" s="11" t="str">
        <f>VLOOKUP(Table22[[#This Row],[شماره فني]],Sheet7!A:C,3,0)</f>
        <v>جلو آمپر</v>
      </c>
      <c r="H16" s="11" t="str">
        <f>VLOOKUP(Table22[[#This Row],[شماره فني]],Sheet7!A:B,2,0)</f>
        <v>جلو آمپر207  معمولی85 گانه</v>
      </c>
      <c r="I16" s="11" t="s">
        <v>56</v>
      </c>
      <c r="J16" s="11" t="s">
        <v>724</v>
      </c>
      <c r="K16" s="11" t="s">
        <v>22</v>
      </c>
      <c r="L16" s="11" t="s">
        <v>99</v>
      </c>
      <c r="M16" s="11" t="s">
        <v>261</v>
      </c>
      <c r="N16" s="11" t="s">
        <v>261</v>
      </c>
      <c r="O16" s="11" t="s">
        <v>261</v>
      </c>
      <c r="P16" s="11" t="s">
        <v>261</v>
      </c>
      <c r="Q16" s="11" t="s">
        <v>103</v>
      </c>
      <c r="R16" s="11" t="s">
        <v>261</v>
      </c>
      <c r="S16" s="11" t="s">
        <v>231</v>
      </c>
      <c r="T16" s="11" t="s">
        <v>797</v>
      </c>
      <c r="U16" s="11" t="s">
        <v>809</v>
      </c>
      <c r="V16" s="11">
        <v>1</v>
      </c>
      <c r="W16" s="11" t="s">
        <v>30</v>
      </c>
      <c r="X16" s="11" t="s">
        <v>144</v>
      </c>
      <c r="Y16" s="11" t="s">
        <v>99</v>
      </c>
      <c r="Z16" s="11" t="s">
        <v>66</v>
      </c>
      <c r="AA16" s="11" t="s">
        <v>27</v>
      </c>
      <c r="AB16" s="11" t="s">
        <v>982</v>
      </c>
      <c r="AC16" s="11" t="s">
        <v>261</v>
      </c>
      <c r="AD16" s="11" t="s">
        <v>551</v>
      </c>
      <c r="AE16" s="12" t="s">
        <v>261</v>
      </c>
      <c r="AF16" s="11" t="s">
        <v>261</v>
      </c>
    </row>
    <row r="17" spans="1:32" ht="45" hidden="1" x14ac:dyDescent="0.25">
      <c r="A17" s="11">
        <v>1</v>
      </c>
      <c r="B17" s="11">
        <v>195199</v>
      </c>
      <c r="C17" s="11" t="s">
        <v>55</v>
      </c>
      <c r="D17" s="11" t="str">
        <f>MID(Table22[[#This Row],[تاريخ تاييد]],1,7)</f>
        <v>1403/02</v>
      </c>
      <c r="E17" s="11" t="str">
        <f>MID(Table22[[#This Row],[تاريخ تاييد]],6,2)</f>
        <v>02</v>
      </c>
      <c r="F17" s="11" t="s">
        <v>618</v>
      </c>
      <c r="G17" s="11" t="str">
        <f>VLOOKUP(Table22[[#This Row],[شماره فني]],Sheet7!A:C,3,0)</f>
        <v>جلو آمپر</v>
      </c>
      <c r="H17" s="11" t="str">
        <f>VLOOKUP(Table22[[#This Row],[شماره فني]],Sheet7!A:B,2,0)</f>
        <v>جلو آمپر تارا اتوماتیک</v>
      </c>
      <c r="I17" s="11" t="s">
        <v>57</v>
      </c>
      <c r="J17" s="11" t="s">
        <v>231</v>
      </c>
      <c r="K17" s="11" t="s">
        <v>261</v>
      </c>
      <c r="L17" s="11" t="s">
        <v>261</v>
      </c>
      <c r="M17" s="11" t="s">
        <v>261</v>
      </c>
      <c r="N17" s="11" t="s">
        <v>261</v>
      </c>
      <c r="O17" s="11" t="s">
        <v>261</v>
      </c>
      <c r="P17" s="11" t="s">
        <v>261</v>
      </c>
      <c r="Q17" s="11" t="s">
        <v>961</v>
      </c>
      <c r="R17" s="11" t="s">
        <v>261</v>
      </c>
      <c r="S17" s="11" t="s">
        <v>261</v>
      </c>
      <c r="T17" s="11" t="s">
        <v>552</v>
      </c>
      <c r="U17" s="11" t="s">
        <v>784</v>
      </c>
      <c r="V17" s="11">
        <v>1</v>
      </c>
      <c r="W17" s="11" t="s">
        <v>20</v>
      </c>
      <c r="X17" s="11" t="s">
        <v>261</v>
      </c>
      <c r="Y17" s="11" t="s">
        <v>261</v>
      </c>
      <c r="Z17" s="11" t="s">
        <v>261</v>
      </c>
      <c r="AA17" s="11" t="s">
        <v>583</v>
      </c>
      <c r="AB17" s="11" t="s">
        <v>261</v>
      </c>
      <c r="AC17" s="11" t="s">
        <v>261</v>
      </c>
      <c r="AD17" s="11" t="s">
        <v>551</v>
      </c>
      <c r="AE17" s="12" t="s">
        <v>261</v>
      </c>
      <c r="AF17" s="11" t="s">
        <v>261</v>
      </c>
    </row>
    <row r="18" spans="1:32" ht="45" hidden="1" x14ac:dyDescent="0.25">
      <c r="A18" s="11">
        <v>1</v>
      </c>
      <c r="B18" s="11">
        <v>195215</v>
      </c>
      <c r="C18" s="11" t="s">
        <v>58</v>
      </c>
      <c r="D18" s="11" t="str">
        <f>MID(Table22[[#This Row],[تاريخ تاييد]],1,7)</f>
        <v>1403/02</v>
      </c>
      <c r="E18" s="11" t="str">
        <f>MID(Table22[[#This Row],[تاريخ تاييد]],6,2)</f>
        <v>02</v>
      </c>
      <c r="F18" s="11" t="s">
        <v>618</v>
      </c>
      <c r="G18" s="11" t="str">
        <f>VLOOKUP(Table22[[#This Row],[شماره فني]],Sheet7!A:C,3,0)</f>
        <v>NOD</v>
      </c>
      <c r="H18" s="11" t="str">
        <f>VLOOKUP(Table22[[#This Row],[شماره فني]],Sheet7!A:B,2,0)</f>
        <v>NBCM TARA</v>
      </c>
      <c r="I18" s="11" t="s">
        <v>59</v>
      </c>
      <c r="J18" s="11" t="s">
        <v>232</v>
      </c>
      <c r="K18" s="11" t="s">
        <v>261</v>
      </c>
      <c r="L18" s="11" t="s">
        <v>261</v>
      </c>
      <c r="M18" s="11" t="s">
        <v>261</v>
      </c>
      <c r="N18" s="11" t="s">
        <v>261</v>
      </c>
      <c r="O18" s="11" t="s">
        <v>261</v>
      </c>
      <c r="P18" s="11" t="s">
        <v>261</v>
      </c>
      <c r="Q18" s="11" t="s">
        <v>961</v>
      </c>
      <c r="R18" s="11" t="s">
        <v>261</v>
      </c>
      <c r="S18" s="11" t="s">
        <v>261</v>
      </c>
      <c r="T18" s="11" t="s">
        <v>552</v>
      </c>
      <c r="U18" s="11" t="s">
        <v>784</v>
      </c>
      <c r="V18" s="11">
        <v>1</v>
      </c>
      <c r="W18" s="11" t="s">
        <v>15</v>
      </c>
      <c r="X18" s="11" t="s">
        <v>261</v>
      </c>
      <c r="Y18" s="11" t="s">
        <v>261</v>
      </c>
      <c r="Z18" s="11" t="s">
        <v>261</v>
      </c>
      <c r="AA18" s="11" t="s">
        <v>583</v>
      </c>
      <c r="AB18" s="11" t="s">
        <v>261</v>
      </c>
      <c r="AC18" s="11" t="s">
        <v>261</v>
      </c>
      <c r="AD18" s="11" t="s">
        <v>551</v>
      </c>
      <c r="AE18" s="12" t="s">
        <v>261</v>
      </c>
      <c r="AF18" s="11" t="s">
        <v>261</v>
      </c>
    </row>
    <row r="19" spans="1:32" ht="30" hidden="1" x14ac:dyDescent="0.25">
      <c r="A19" s="11">
        <v>1</v>
      </c>
      <c r="B19" s="11">
        <v>195277</v>
      </c>
      <c r="C19" s="11" t="s">
        <v>33</v>
      </c>
      <c r="D19" s="11" t="str">
        <f>MID(Table22[[#This Row],[تاريخ تاييد]],1,7)</f>
        <v>1403/02</v>
      </c>
      <c r="E19" s="11" t="str">
        <f>MID(Table22[[#This Row],[تاريخ تاييد]],6,2)</f>
        <v>02</v>
      </c>
      <c r="F19" s="11" t="s">
        <v>618</v>
      </c>
      <c r="G19" s="11" t="str">
        <f>VLOOKUP(Table22[[#This Row],[شماره فني]],Sheet7!A:C,3,0)</f>
        <v>NOD</v>
      </c>
      <c r="H19" s="11" t="str">
        <f>VLOOKUP(Table22[[#This Row],[شماره فني]],Sheet7!A:B,2,0)</f>
        <v>NBCM TARA</v>
      </c>
      <c r="I19" s="11" t="s">
        <v>60</v>
      </c>
      <c r="J19" s="11" t="s">
        <v>232</v>
      </c>
      <c r="K19" s="11" t="s">
        <v>22</v>
      </c>
      <c r="L19" s="11" t="s">
        <v>99</v>
      </c>
      <c r="M19" s="11" t="s">
        <v>261</v>
      </c>
      <c r="N19" s="11" t="s">
        <v>261</v>
      </c>
      <c r="O19" s="11" t="s">
        <v>261</v>
      </c>
      <c r="P19" s="11" t="s">
        <v>261</v>
      </c>
      <c r="Q19" s="11" t="s">
        <v>102</v>
      </c>
      <c r="R19" s="11" t="s">
        <v>261</v>
      </c>
      <c r="S19" s="11" t="s">
        <v>980</v>
      </c>
      <c r="T19" s="11" t="s">
        <v>815</v>
      </c>
      <c r="U19" s="11" t="s">
        <v>564</v>
      </c>
      <c r="V19" s="11">
        <v>1</v>
      </c>
      <c r="W19" s="11" t="s">
        <v>15</v>
      </c>
      <c r="X19" s="11" t="s">
        <v>128</v>
      </c>
      <c r="Y19" s="11" t="s">
        <v>99</v>
      </c>
      <c r="Z19" s="11" t="s">
        <v>66</v>
      </c>
      <c r="AA19" s="11" t="s">
        <v>29</v>
      </c>
      <c r="AB19" s="11" t="s">
        <v>261</v>
      </c>
      <c r="AC19" s="11" t="s">
        <v>261</v>
      </c>
      <c r="AD19" s="11" t="s">
        <v>551</v>
      </c>
      <c r="AE19" s="12" t="s">
        <v>261</v>
      </c>
      <c r="AF19" s="11" t="s">
        <v>261</v>
      </c>
    </row>
    <row r="20" spans="1:32" ht="30" hidden="1" x14ac:dyDescent="0.25">
      <c r="A20" s="11">
        <v>1</v>
      </c>
      <c r="B20" s="11">
        <v>195278</v>
      </c>
      <c r="C20" s="11" t="s">
        <v>33</v>
      </c>
      <c r="D20" s="11" t="str">
        <f>MID(Table22[[#This Row],[تاريخ تاييد]],1,7)</f>
        <v>1403/02</v>
      </c>
      <c r="E20" s="11" t="str">
        <f>MID(Table22[[#This Row],[تاريخ تاييد]],6,2)</f>
        <v>02</v>
      </c>
      <c r="F20" s="11" t="s">
        <v>618</v>
      </c>
      <c r="G20" s="11" t="str">
        <f>VLOOKUP(Table22[[#This Row],[شماره فني]],Sheet7!A:C,3,0)</f>
        <v>جلو آمپر</v>
      </c>
      <c r="H20" s="11" t="str">
        <f>VLOOKUP(Table22[[#This Row],[شماره فني]],Sheet7!A:B,2,0)</f>
        <v>جلو آمپر دنا اتوماتیک</v>
      </c>
      <c r="I20" s="11" t="s">
        <v>61</v>
      </c>
      <c r="J20" s="11" t="s">
        <v>233</v>
      </c>
      <c r="K20" s="11" t="s">
        <v>22</v>
      </c>
      <c r="L20" s="11" t="s">
        <v>99</v>
      </c>
      <c r="M20" s="11" t="s">
        <v>261</v>
      </c>
      <c r="N20" s="11" t="s">
        <v>261</v>
      </c>
      <c r="O20" s="11" t="s">
        <v>261</v>
      </c>
      <c r="P20" s="11" t="s">
        <v>261</v>
      </c>
      <c r="Q20" s="11" t="s">
        <v>108</v>
      </c>
      <c r="R20" s="11" t="s">
        <v>109</v>
      </c>
      <c r="S20" s="11" t="s">
        <v>803</v>
      </c>
      <c r="T20" s="11" t="s">
        <v>797</v>
      </c>
      <c r="U20" s="11" t="s">
        <v>561</v>
      </c>
      <c r="V20" s="11">
        <v>1</v>
      </c>
      <c r="W20" s="11" t="s">
        <v>21</v>
      </c>
      <c r="X20" s="11" t="s">
        <v>261</v>
      </c>
      <c r="Y20" s="11" t="s">
        <v>99</v>
      </c>
      <c r="Z20" s="11" t="s">
        <v>66</v>
      </c>
      <c r="AA20" s="11" t="s">
        <v>28</v>
      </c>
      <c r="AB20" s="11" t="s">
        <v>261</v>
      </c>
      <c r="AC20" s="11" t="s">
        <v>261</v>
      </c>
      <c r="AD20" s="11" t="s">
        <v>551</v>
      </c>
      <c r="AE20" s="12" t="s">
        <v>261</v>
      </c>
      <c r="AF20" s="11" t="s">
        <v>261</v>
      </c>
    </row>
    <row r="21" spans="1:32" ht="45" hidden="1" x14ac:dyDescent="0.25">
      <c r="A21" s="11">
        <v>1</v>
      </c>
      <c r="B21" s="11">
        <v>195351</v>
      </c>
      <c r="C21" s="11" t="s">
        <v>33</v>
      </c>
      <c r="D21" s="11" t="str">
        <f>MID(Table22[[#This Row],[تاريخ تاييد]],1,7)</f>
        <v>1403/02</v>
      </c>
      <c r="E21" s="11" t="str">
        <f>MID(Table22[[#This Row],[تاريخ تاييد]],6,2)</f>
        <v>02</v>
      </c>
      <c r="F21" s="11" t="s">
        <v>618</v>
      </c>
      <c r="G21" s="11" t="str">
        <f>VLOOKUP(Table22[[#This Row],[شماره فني]],Sheet7!A:C,3,0)</f>
        <v>NOD</v>
      </c>
      <c r="H21" s="11" t="str">
        <f>VLOOKUP(Table22[[#This Row],[شماره فني]],Sheet7!A:B,2,0)</f>
        <v>NBCM TARA</v>
      </c>
      <c r="I21" s="11" t="s">
        <v>62</v>
      </c>
      <c r="J21" s="11" t="s">
        <v>232</v>
      </c>
      <c r="K21" s="11" t="s">
        <v>261</v>
      </c>
      <c r="L21" s="11" t="s">
        <v>261</v>
      </c>
      <c r="M21" s="11" t="s">
        <v>261</v>
      </c>
      <c r="N21" s="11" t="s">
        <v>261</v>
      </c>
      <c r="O21" s="11" t="s">
        <v>261</v>
      </c>
      <c r="P21" s="11" t="s">
        <v>261</v>
      </c>
      <c r="Q21" s="11" t="s">
        <v>961</v>
      </c>
      <c r="R21" s="11" t="s">
        <v>261</v>
      </c>
      <c r="S21" s="11" t="s">
        <v>261</v>
      </c>
      <c r="T21" s="11" t="s">
        <v>552</v>
      </c>
      <c r="U21" s="11" t="s">
        <v>784</v>
      </c>
      <c r="V21" s="11">
        <v>1</v>
      </c>
      <c r="W21" s="11" t="s">
        <v>15</v>
      </c>
      <c r="X21" s="11" t="s">
        <v>261</v>
      </c>
      <c r="Y21" s="11" t="s">
        <v>261</v>
      </c>
      <c r="Z21" s="11" t="s">
        <v>261</v>
      </c>
      <c r="AA21" s="11" t="s">
        <v>583</v>
      </c>
      <c r="AB21" s="11" t="s">
        <v>261</v>
      </c>
      <c r="AC21" s="11" t="s">
        <v>261</v>
      </c>
      <c r="AD21" s="11" t="s">
        <v>551</v>
      </c>
      <c r="AE21" s="12" t="s">
        <v>261</v>
      </c>
      <c r="AF21" s="11" t="s">
        <v>261</v>
      </c>
    </row>
    <row r="22" spans="1:32" ht="30" hidden="1" x14ac:dyDescent="0.25">
      <c r="A22" s="11">
        <v>1</v>
      </c>
      <c r="B22" s="11">
        <v>195609</v>
      </c>
      <c r="C22" s="11" t="s">
        <v>72</v>
      </c>
      <c r="D22" s="11" t="str">
        <f>MID(Table22[[#This Row],[تاريخ تاييد]],1,7)</f>
        <v>1403/02</v>
      </c>
      <c r="E22" s="11" t="str">
        <f>MID(Table22[[#This Row],[تاريخ تاييد]],6,2)</f>
        <v>02</v>
      </c>
      <c r="F22" s="11" t="s">
        <v>618</v>
      </c>
      <c r="G22" s="11" t="str">
        <f>VLOOKUP(Table22[[#This Row],[شماره فني]],Sheet7!A:C,3,0)</f>
        <v>NOD</v>
      </c>
      <c r="H22" s="11" t="str">
        <f>VLOOKUP(Table22[[#This Row],[شماره فني]],Sheet7!A:B,2,0)</f>
        <v>NBCM 207</v>
      </c>
      <c r="I22" s="11" t="s">
        <v>73</v>
      </c>
      <c r="J22" s="11" t="s">
        <v>726</v>
      </c>
      <c r="K22" s="11" t="s">
        <v>22</v>
      </c>
      <c r="L22" s="11" t="s">
        <v>65</v>
      </c>
      <c r="M22" s="11" t="s">
        <v>261</v>
      </c>
      <c r="N22" s="11" t="s">
        <v>261</v>
      </c>
      <c r="O22" s="11" t="s">
        <v>261</v>
      </c>
      <c r="P22" s="11" t="s">
        <v>261</v>
      </c>
      <c r="Q22" s="11" t="s">
        <v>74</v>
      </c>
      <c r="R22" s="11" t="s">
        <v>75</v>
      </c>
      <c r="S22" s="11" t="s">
        <v>802</v>
      </c>
      <c r="T22" s="11" t="s">
        <v>797</v>
      </c>
      <c r="U22" s="11" t="s">
        <v>561</v>
      </c>
      <c r="V22" s="11">
        <v>1</v>
      </c>
      <c r="W22" s="11" t="s">
        <v>19</v>
      </c>
      <c r="X22" s="11" t="s">
        <v>131</v>
      </c>
      <c r="Y22" s="11" t="s">
        <v>65</v>
      </c>
      <c r="Z22" s="11" t="s">
        <v>66</v>
      </c>
      <c r="AA22" s="11" t="s">
        <v>28</v>
      </c>
      <c r="AB22" s="11" t="s">
        <v>261</v>
      </c>
      <c r="AC22" s="11" t="s">
        <v>261</v>
      </c>
      <c r="AD22" s="11" t="s">
        <v>551</v>
      </c>
      <c r="AE22" s="12" t="s">
        <v>261</v>
      </c>
      <c r="AF22" s="11" t="s">
        <v>261</v>
      </c>
    </row>
    <row r="23" spans="1:32" ht="30" hidden="1" x14ac:dyDescent="0.25">
      <c r="A23" s="11">
        <v>1</v>
      </c>
      <c r="B23" s="11">
        <v>195610</v>
      </c>
      <c r="C23" s="11" t="s">
        <v>63</v>
      </c>
      <c r="D23" s="11" t="str">
        <f>MID(Table22[[#This Row],[تاريخ تاييد]],1,7)</f>
        <v>1403/02</v>
      </c>
      <c r="E23" s="11" t="str">
        <f>MID(Table22[[#This Row],[تاريخ تاييد]],6,2)</f>
        <v>02</v>
      </c>
      <c r="F23" s="11" t="s">
        <v>618</v>
      </c>
      <c r="G23" s="11" t="str">
        <f>VLOOKUP(Table22[[#This Row],[شماره فني]],Sheet7!A:C,3,0)</f>
        <v>NOD</v>
      </c>
      <c r="H23" s="11" t="str">
        <f>VLOOKUP(Table22[[#This Row],[شماره فني]],Sheet7!A:B,2,0)</f>
        <v>NBCM 207</v>
      </c>
      <c r="I23" s="11" t="s">
        <v>64</v>
      </c>
      <c r="J23" s="11" t="s">
        <v>730</v>
      </c>
      <c r="K23" s="11" t="s">
        <v>22</v>
      </c>
      <c r="L23" s="11" t="s">
        <v>65</v>
      </c>
      <c r="M23" s="11" t="s">
        <v>261</v>
      </c>
      <c r="N23" s="11" t="s">
        <v>261</v>
      </c>
      <c r="O23" s="11" t="s">
        <v>261</v>
      </c>
      <c r="P23" s="11" t="s">
        <v>261</v>
      </c>
      <c r="Q23" s="11" t="s">
        <v>76</v>
      </c>
      <c r="R23" s="11" t="s">
        <v>77</v>
      </c>
      <c r="S23" s="11" t="s">
        <v>817</v>
      </c>
      <c r="T23" s="11" t="s">
        <v>824</v>
      </c>
      <c r="U23" s="11" t="s">
        <v>565</v>
      </c>
      <c r="V23" s="11">
        <v>1</v>
      </c>
      <c r="W23" s="11" t="s">
        <v>19</v>
      </c>
      <c r="X23" s="11" t="s">
        <v>129</v>
      </c>
      <c r="Y23" s="11" t="s">
        <v>65</v>
      </c>
      <c r="Z23" s="11" t="s">
        <v>66</v>
      </c>
      <c r="AA23" s="11" t="s">
        <v>27</v>
      </c>
      <c r="AB23" s="11" t="s">
        <v>986</v>
      </c>
      <c r="AC23" s="11" t="s">
        <v>261</v>
      </c>
      <c r="AD23" s="11" t="s">
        <v>551</v>
      </c>
      <c r="AE23" s="12" t="s">
        <v>261</v>
      </c>
      <c r="AF23" s="11" t="s">
        <v>261</v>
      </c>
    </row>
    <row r="24" spans="1:32" ht="30" hidden="1" x14ac:dyDescent="0.25">
      <c r="A24" s="11">
        <v>1</v>
      </c>
      <c r="B24" s="11">
        <v>195610</v>
      </c>
      <c r="C24" s="11" t="s">
        <v>63</v>
      </c>
      <c r="D24" s="11" t="str">
        <f>MID(Table22[[#This Row],[تاريخ تاييد]],1,7)</f>
        <v>1403/02</v>
      </c>
      <c r="E24" s="11" t="str">
        <f>MID(Table22[[#This Row],[تاريخ تاييد]],6,2)</f>
        <v>02</v>
      </c>
      <c r="F24" s="11" t="s">
        <v>618</v>
      </c>
      <c r="G24" s="11" t="str">
        <f>VLOOKUP(Table22[[#This Row],[شماره فني]],Sheet7!A:C,3,0)</f>
        <v>NOD</v>
      </c>
      <c r="H24" s="11" t="str">
        <f>VLOOKUP(Table22[[#This Row],[شماره فني]],Sheet7!A:B,2,0)</f>
        <v>NBCM 207</v>
      </c>
      <c r="I24" s="11" t="s">
        <v>64</v>
      </c>
      <c r="J24" s="11" t="s">
        <v>730</v>
      </c>
      <c r="K24" s="11" t="s">
        <v>22</v>
      </c>
      <c r="L24" s="11" t="s">
        <v>65</v>
      </c>
      <c r="M24" s="11" t="s">
        <v>261</v>
      </c>
      <c r="N24" s="11" t="s">
        <v>261</v>
      </c>
      <c r="O24" s="11" t="s">
        <v>261</v>
      </c>
      <c r="P24" s="11" t="s">
        <v>261</v>
      </c>
      <c r="Q24" s="11" t="s">
        <v>76</v>
      </c>
      <c r="R24" s="11" t="s">
        <v>77</v>
      </c>
      <c r="S24" s="11" t="s">
        <v>817</v>
      </c>
      <c r="T24" s="11" t="s">
        <v>824</v>
      </c>
      <c r="U24" s="11" t="s">
        <v>565</v>
      </c>
      <c r="V24" s="11">
        <v>1</v>
      </c>
      <c r="W24" s="11" t="s">
        <v>19</v>
      </c>
      <c r="X24" s="11" t="s">
        <v>132</v>
      </c>
      <c r="Y24" s="11" t="s">
        <v>65</v>
      </c>
      <c r="Z24" s="11" t="s">
        <v>66</v>
      </c>
      <c r="AA24" s="11" t="s">
        <v>27</v>
      </c>
      <c r="AB24" s="11" t="s">
        <v>986</v>
      </c>
      <c r="AC24" s="11" t="s">
        <v>261</v>
      </c>
      <c r="AD24" s="11" t="s">
        <v>551</v>
      </c>
      <c r="AE24" s="12" t="s">
        <v>261</v>
      </c>
      <c r="AF24" s="11" t="s">
        <v>261</v>
      </c>
    </row>
    <row r="25" spans="1:32" ht="30" hidden="1" x14ac:dyDescent="0.25">
      <c r="A25" s="11">
        <v>1</v>
      </c>
      <c r="B25" s="11">
        <v>195610</v>
      </c>
      <c r="C25" s="11" t="s">
        <v>63</v>
      </c>
      <c r="D25" s="11" t="str">
        <f>MID(Table22[[#This Row],[تاريخ تاييد]],1,7)</f>
        <v>1403/02</v>
      </c>
      <c r="E25" s="11" t="str">
        <f>MID(Table22[[#This Row],[تاريخ تاييد]],6,2)</f>
        <v>02</v>
      </c>
      <c r="F25" s="11" t="s">
        <v>618</v>
      </c>
      <c r="G25" s="11" t="str">
        <f>VLOOKUP(Table22[[#This Row],[شماره فني]],Sheet7!A:C,3,0)</f>
        <v>NOD</v>
      </c>
      <c r="H25" s="11" t="str">
        <f>VLOOKUP(Table22[[#This Row],[شماره فني]],Sheet7!A:B,2,0)</f>
        <v>NBCM 207</v>
      </c>
      <c r="I25" s="11" t="s">
        <v>64</v>
      </c>
      <c r="J25" s="11" t="s">
        <v>730</v>
      </c>
      <c r="K25" s="11" t="s">
        <v>22</v>
      </c>
      <c r="L25" s="11" t="s">
        <v>65</v>
      </c>
      <c r="M25" s="11" t="s">
        <v>261</v>
      </c>
      <c r="N25" s="11" t="s">
        <v>261</v>
      </c>
      <c r="O25" s="11" t="s">
        <v>261</v>
      </c>
      <c r="P25" s="11" t="s">
        <v>261</v>
      </c>
      <c r="Q25" s="11" t="s">
        <v>137</v>
      </c>
      <c r="R25" s="11" t="s">
        <v>138</v>
      </c>
      <c r="S25" s="11" t="s">
        <v>979</v>
      </c>
      <c r="T25" s="11" t="s">
        <v>1178</v>
      </c>
      <c r="U25" s="11" t="s">
        <v>566</v>
      </c>
      <c r="V25" s="11">
        <v>1</v>
      </c>
      <c r="W25" s="11" t="s">
        <v>19</v>
      </c>
      <c r="X25" s="11" t="s">
        <v>139</v>
      </c>
      <c r="Y25" s="11" t="s">
        <v>65</v>
      </c>
      <c r="Z25" s="11" t="s">
        <v>66</v>
      </c>
      <c r="AA25" s="11" t="s">
        <v>26</v>
      </c>
      <c r="AB25" s="11" t="s">
        <v>261</v>
      </c>
      <c r="AC25" s="11" t="s">
        <v>583</v>
      </c>
      <c r="AD25" s="11" t="s">
        <v>551</v>
      </c>
      <c r="AE25" s="12" t="s">
        <v>261</v>
      </c>
      <c r="AF25" s="11" t="s">
        <v>261</v>
      </c>
    </row>
    <row r="26" spans="1:32" ht="30" hidden="1" x14ac:dyDescent="0.25">
      <c r="A26" s="11">
        <v>1</v>
      </c>
      <c r="B26" s="11">
        <v>195610</v>
      </c>
      <c r="C26" s="11" t="s">
        <v>63</v>
      </c>
      <c r="D26" s="11" t="str">
        <f>MID(Table22[[#This Row],[تاريخ تاييد]],1,7)</f>
        <v>1403/02</v>
      </c>
      <c r="E26" s="11" t="str">
        <f>MID(Table22[[#This Row],[تاريخ تاييد]],6,2)</f>
        <v>02</v>
      </c>
      <c r="F26" s="11" t="s">
        <v>618</v>
      </c>
      <c r="G26" s="11" t="str">
        <f>VLOOKUP(Table22[[#This Row],[شماره فني]],Sheet7!A:C,3,0)</f>
        <v>NOD</v>
      </c>
      <c r="H26" s="11" t="str">
        <f>VLOOKUP(Table22[[#This Row],[شماره فني]],Sheet7!A:B,2,0)</f>
        <v>NBCM 207</v>
      </c>
      <c r="I26" s="11" t="s">
        <v>64</v>
      </c>
      <c r="J26" s="11" t="s">
        <v>730</v>
      </c>
      <c r="K26" s="11" t="s">
        <v>22</v>
      </c>
      <c r="L26" s="11" t="s">
        <v>65</v>
      </c>
      <c r="M26" s="11" t="s">
        <v>261</v>
      </c>
      <c r="N26" s="11" t="s">
        <v>261</v>
      </c>
      <c r="O26" s="11" t="s">
        <v>261</v>
      </c>
      <c r="P26" s="11" t="s">
        <v>261</v>
      </c>
      <c r="Q26" s="11" t="s">
        <v>76</v>
      </c>
      <c r="R26" s="11" t="s">
        <v>77</v>
      </c>
      <c r="S26" s="11" t="s">
        <v>817</v>
      </c>
      <c r="T26" s="11" t="s">
        <v>824</v>
      </c>
      <c r="U26" s="11" t="s">
        <v>565</v>
      </c>
      <c r="V26" s="11">
        <v>1</v>
      </c>
      <c r="W26" s="11" t="s">
        <v>19</v>
      </c>
      <c r="X26" s="11" t="s">
        <v>133</v>
      </c>
      <c r="Y26" s="11" t="s">
        <v>65</v>
      </c>
      <c r="Z26" s="11" t="s">
        <v>66</v>
      </c>
      <c r="AA26" s="11" t="s">
        <v>27</v>
      </c>
      <c r="AB26" s="11" t="s">
        <v>986</v>
      </c>
      <c r="AC26" s="11" t="s">
        <v>261</v>
      </c>
      <c r="AD26" s="11" t="s">
        <v>551</v>
      </c>
      <c r="AE26" s="12" t="s">
        <v>261</v>
      </c>
      <c r="AF26" s="11" t="s">
        <v>261</v>
      </c>
    </row>
    <row r="27" spans="1:32" ht="30" hidden="1" x14ac:dyDescent="0.25">
      <c r="A27" s="11">
        <v>1</v>
      </c>
      <c r="B27" s="11">
        <v>195610</v>
      </c>
      <c r="C27" s="11" t="s">
        <v>63</v>
      </c>
      <c r="D27" s="11" t="str">
        <f>MID(Table22[[#This Row],[تاريخ تاييد]],1,7)</f>
        <v>1403/02</v>
      </c>
      <c r="E27" s="11" t="str">
        <f>MID(Table22[[#This Row],[تاريخ تاييد]],6,2)</f>
        <v>02</v>
      </c>
      <c r="F27" s="11" t="s">
        <v>618</v>
      </c>
      <c r="G27" s="11" t="str">
        <f>VLOOKUP(Table22[[#This Row],[شماره فني]],Sheet7!A:C,3,0)</f>
        <v>NOD</v>
      </c>
      <c r="H27" s="11" t="str">
        <f>VLOOKUP(Table22[[#This Row],[شماره فني]],Sheet7!A:B,2,0)</f>
        <v>NBCM 207</v>
      </c>
      <c r="I27" s="11" t="s">
        <v>64</v>
      </c>
      <c r="J27" s="11" t="s">
        <v>730</v>
      </c>
      <c r="K27" s="11" t="s">
        <v>23</v>
      </c>
      <c r="L27" s="11" t="s">
        <v>65</v>
      </c>
      <c r="M27" s="11" t="s">
        <v>261</v>
      </c>
      <c r="N27" s="11" t="s">
        <v>261</v>
      </c>
      <c r="O27" s="11" t="s">
        <v>261</v>
      </c>
      <c r="P27" s="11" t="s">
        <v>261</v>
      </c>
      <c r="Q27" s="11" t="s">
        <v>76</v>
      </c>
      <c r="R27" s="11" t="s">
        <v>77</v>
      </c>
      <c r="S27" s="11" t="s">
        <v>817</v>
      </c>
      <c r="T27" s="11" t="s">
        <v>824</v>
      </c>
      <c r="U27" s="11" t="s">
        <v>565</v>
      </c>
      <c r="V27" s="11">
        <v>1</v>
      </c>
      <c r="W27" s="11" t="s">
        <v>19</v>
      </c>
      <c r="X27" s="11" t="s">
        <v>130</v>
      </c>
      <c r="Y27" s="11" t="s">
        <v>65</v>
      </c>
      <c r="Z27" s="11" t="s">
        <v>66</v>
      </c>
      <c r="AA27" s="11" t="s">
        <v>27</v>
      </c>
      <c r="AB27" s="11" t="s">
        <v>986</v>
      </c>
      <c r="AC27" s="11" t="s">
        <v>261</v>
      </c>
      <c r="AD27" s="11" t="s">
        <v>551</v>
      </c>
      <c r="AE27" s="12" t="s">
        <v>261</v>
      </c>
      <c r="AF27" s="11" t="s">
        <v>261</v>
      </c>
    </row>
    <row r="28" spans="1:32" ht="30" hidden="1" x14ac:dyDescent="0.25">
      <c r="A28" s="11">
        <v>1</v>
      </c>
      <c r="B28" s="11">
        <v>195770</v>
      </c>
      <c r="C28" s="11" t="s">
        <v>72</v>
      </c>
      <c r="D28" s="11" t="str">
        <f>MID(Table22[[#This Row],[تاريخ تاييد]],1,7)</f>
        <v>1403/02</v>
      </c>
      <c r="E28" s="11" t="str">
        <f>MID(Table22[[#This Row],[تاريخ تاييد]],6,2)</f>
        <v>02</v>
      </c>
      <c r="F28" s="11" t="s">
        <v>618</v>
      </c>
      <c r="G28" s="11" t="str">
        <f>VLOOKUP(Table22[[#This Row],[شماره فني]],Sheet7!A:C,3,0)</f>
        <v>جلو آمپر</v>
      </c>
      <c r="H28" s="11" t="str">
        <f>VLOOKUP(Table22[[#This Row],[شماره فني]],Sheet7!A:B,2,0)</f>
        <v>جلو آمپر دنا اتوماتیک</v>
      </c>
      <c r="I28" s="11" t="s">
        <v>78</v>
      </c>
      <c r="J28" s="11" t="s">
        <v>231</v>
      </c>
      <c r="K28" s="11" t="s">
        <v>22</v>
      </c>
      <c r="L28" s="11" t="s">
        <v>99</v>
      </c>
      <c r="M28" s="11" t="s">
        <v>261</v>
      </c>
      <c r="N28" s="11" t="s">
        <v>261</v>
      </c>
      <c r="O28" s="11" t="s">
        <v>261</v>
      </c>
      <c r="P28" s="11" t="s">
        <v>261</v>
      </c>
      <c r="Q28" s="11" t="s">
        <v>104</v>
      </c>
      <c r="R28" s="11" t="s">
        <v>105</v>
      </c>
      <c r="S28" s="11" t="s">
        <v>231</v>
      </c>
      <c r="T28" s="11" t="s">
        <v>797</v>
      </c>
      <c r="U28" s="11" t="s">
        <v>561</v>
      </c>
      <c r="V28" s="11">
        <v>2</v>
      </c>
      <c r="W28" s="11" t="s">
        <v>21</v>
      </c>
      <c r="X28" s="11" t="s">
        <v>261</v>
      </c>
      <c r="Y28" s="11" t="s">
        <v>99</v>
      </c>
      <c r="Z28" s="11" t="s">
        <v>66</v>
      </c>
      <c r="AA28" s="11" t="s">
        <v>28</v>
      </c>
      <c r="AB28" s="11" t="s">
        <v>261</v>
      </c>
      <c r="AC28" s="11" t="s">
        <v>261</v>
      </c>
      <c r="AD28" s="11" t="s">
        <v>551</v>
      </c>
      <c r="AE28" s="12" t="s">
        <v>261</v>
      </c>
      <c r="AF28" s="11" t="s">
        <v>261</v>
      </c>
    </row>
    <row r="29" spans="1:32" ht="30" hidden="1" x14ac:dyDescent="0.25">
      <c r="A29" s="11">
        <v>1</v>
      </c>
      <c r="B29" s="11">
        <v>195792</v>
      </c>
      <c r="C29" s="11" t="s">
        <v>72</v>
      </c>
      <c r="D29" s="11" t="str">
        <f>MID(Table22[[#This Row],[تاريخ تاييد]],1,7)</f>
        <v>1403/02</v>
      </c>
      <c r="E29" s="11" t="str">
        <f>MID(Table22[[#This Row],[تاريخ تاييد]],6,2)</f>
        <v>02</v>
      </c>
      <c r="F29" s="11" t="s">
        <v>618</v>
      </c>
      <c r="G29" s="11" t="str">
        <f>VLOOKUP(Table22[[#This Row],[شماره فني]],Sheet7!A:C,3,0)</f>
        <v>NOD</v>
      </c>
      <c r="H29" s="11" t="str">
        <f>VLOOKUP(Table22[[#This Row],[شماره فني]],Sheet7!A:B,2,0)</f>
        <v>NBCM TARA SAL</v>
      </c>
      <c r="I29" s="11" t="s">
        <v>79</v>
      </c>
      <c r="J29" s="11" t="s">
        <v>234</v>
      </c>
      <c r="K29" s="11" t="s">
        <v>22</v>
      </c>
      <c r="L29" s="11" t="s">
        <v>99</v>
      </c>
      <c r="M29" s="11" t="s">
        <v>261</v>
      </c>
      <c r="N29" s="11" t="s">
        <v>261</v>
      </c>
      <c r="O29" s="11" t="s">
        <v>261</v>
      </c>
      <c r="P29" s="11" t="s">
        <v>261</v>
      </c>
      <c r="Q29" s="11" t="s">
        <v>567</v>
      </c>
      <c r="R29" s="11" t="s">
        <v>261</v>
      </c>
      <c r="S29" s="11" t="s">
        <v>985</v>
      </c>
      <c r="T29" s="11" t="s">
        <v>568</v>
      </c>
      <c r="U29" s="11" t="s">
        <v>569</v>
      </c>
      <c r="V29" s="11">
        <v>150</v>
      </c>
      <c r="W29" s="11" t="s">
        <v>95</v>
      </c>
      <c r="X29" s="11" t="s">
        <v>261</v>
      </c>
      <c r="Y29" s="11" t="s">
        <v>261</v>
      </c>
      <c r="Z29" s="11" t="s">
        <v>261</v>
      </c>
      <c r="AA29" s="11" t="s">
        <v>29</v>
      </c>
      <c r="AB29" s="11" t="s">
        <v>261</v>
      </c>
      <c r="AC29" s="11" t="s">
        <v>261</v>
      </c>
      <c r="AD29" s="11" t="s">
        <v>551</v>
      </c>
      <c r="AE29" s="12" t="s">
        <v>261</v>
      </c>
      <c r="AF29" s="11" t="s">
        <v>261</v>
      </c>
    </row>
    <row r="30" spans="1:32" ht="30" hidden="1" x14ac:dyDescent="0.25">
      <c r="A30" s="11">
        <v>1</v>
      </c>
      <c r="B30" s="11">
        <v>195868</v>
      </c>
      <c r="C30" s="11" t="s">
        <v>80</v>
      </c>
      <c r="D30" s="11" t="str">
        <f>MID(Table22[[#This Row],[تاريخ تاييد]],1,7)</f>
        <v>1403/02</v>
      </c>
      <c r="E30" s="11" t="str">
        <f>MID(Table22[[#This Row],[تاريخ تاييد]],6,2)</f>
        <v>02</v>
      </c>
      <c r="F30" s="11" t="s">
        <v>618</v>
      </c>
      <c r="G30" s="11" t="str">
        <f>VLOOKUP(Table22[[#This Row],[شماره فني]],Sheet7!A:C,3,0)</f>
        <v>جلو آمپر</v>
      </c>
      <c r="H30" s="11" t="str">
        <f>VLOOKUP(Table22[[#This Row],[شماره فني]],Sheet7!A:B,2,0)</f>
        <v>جلو آمپر دنا ST</v>
      </c>
      <c r="I30" s="11" t="s">
        <v>81</v>
      </c>
      <c r="J30" s="11" t="s">
        <v>724</v>
      </c>
      <c r="K30" s="11" t="s">
        <v>22</v>
      </c>
      <c r="L30" s="11" t="s">
        <v>99</v>
      </c>
      <c r="M30" s="11" t="s">
        <v>261</v>
      </c>
      <c r="N30" s="11" t="s">
        <v>261</v>
      </c>
      <c r="O30" s="11" t="s">
        <v>261</v>
      </c>
      <c r="P30" s="11" t="s">
        <v>261</v>
      </c>
      <c r="Q30" s="11" t="s">
        <v>106</v>
      </c>
      <c r="R30" s="11" t="s">
        <v>261</v>
      </c>
      <c r="S30" s="11" t="s">
        <v>823</v>
      </c>
      <c r="T30" s="11" t="s">
        <v>824</v>
      </c>
      <c r="U30" s="11" t="s">
        <v>561</v>
      </c>
      <c r="V30" s="11">
        <v>1</v>
      </c>
      <c r="W30" s="11" t="s">
        <v>96</v>
      </c>
      <c r="X30" s="11" t="s">
        <v>145</v>
      </c>
      <c r="Y30" s="11" t="s">
        <v>99</v>
      </c>
      <c r="Z30" s="11" t="s">
        <v>66</v>
      </c>
      <c r="AA30" s="11" t="s">
        <v>28</v>
      </c>
      <c r="AB30" s="11" t="s">
        <v>261</v>
      </c>
      <c r="AC30" s="11" t="s">
        <v>107</v>
      </c>
      <c r="AD30" s="11" t="s">
        <v>551</v>
      </c>
      <c r="AE30" s="12" t="s">
        <v>261</v>
      </c>
      <c r="AF30" s="11" t="s">
        <v>261</v>
      </c>
    </row>
    <row r="31" spans="1:32" ht="30" hidden="1" x14ac:dyDescent="0.25">
      <c r="A31" s="11">
        <v>1</v>
      </c>
      <c r="B31" s="11">
        <v>195950</v>
      </c>
      <c r="C31" s="11" t="s">
        <v>82</v>
      </c>
      <c r="D31" s="11" t="str">
        <f>MID(Table22[[#This Row],[تاريخ تاييد]],1,7)</f>
        <v>1403/02</v>
      </c>
      <c r="E31" s="11" t="str">
        <f>MID(Table22[[#This Row],[تاريخ تاييد]],6,2)</f>
        <v>02</v>
      </c>
      <c r="F31" s="11" t="s">
        <v>618</v>
      </c>
      <c r="G31" s="11" t="str">
        <f>VLOOKUP(Table22[[#This Row],[شماره فني]],Sheet7!A:C,3,0)</f>
        <v>NOD</v>
      </c>
      <c r="H31" s="11" t="str">
        <f>VLOOKUP(Table22[[#This Row],[شماره فني]],Sheet7!A:B,2,0)</f>
        <v>NBCM TARA</v>
      </c>
      <c r="I31" s="11" t="s">
        <v>83</v>
      </c>
      <c r="J31" s="11" t="s">
        <v>232</v>
      </c>
      <c r="K31" s="11" t="s">
        <v>22</v>
      </c>
      <c r="L31" s="11" t="s">
        <v>99</v>
      </c>
      <c r="M31" s="11" t="s">
        <v>261</v>
      </c>
      <c r="N31" s="11" t="s">
        <v>261</v>
      </c>
      <c r="O31" s="11" t="s">
        <v>261</v>
      </c>
      <c r="P31" s="11" t="s">
        <v>261</v>
      </c>
      <c r="Q31" s="11" t="s">
        <v>100</v>
      </c>
      <c r="R31" s="11" t="s">
        <v>261</v>
      </c>
      <c r="S31" s="11" t="s">
        <v>822</v>
      </c>
      <c r="T31" s="11" t="s">
        <v>832</v>
      </c>
      <c r="U31" s="11" t="s">
        <v>586</v>
      </c>
      <c r="V31" s="11">
        <v>2</v>
      </c>
      <c r="W31" s="11" t="s">
        <v>15</v>
      </c>
      <c r="X31" s="11" t="s">
        <v>126</v>
      </c>
      <c r="Y31" s="11" t="s">
        <v>99</v>
      </c>
      <c r="Z31" s="11" t="s">
        <v>66</v>
      </c>
      <c r="AA31" s="11" t="s">
        <v>26</v>
      </c>
      <c r="AB31" s="11" t="s">
        <v>261</v>
      </c>
      <c r="AC31" s="11" t="s">
        <v>101</v>
      </c>
      <c r="AD31" s="11" t="s">
        <v>551</v>
      </c>
      <c r="AE31" s="12" t="s">
        <v>261</v>
      </c>
      <c r="AF31" s="11" t="s">
        <v>261</v>
      </c>
    </row>
    <row r="32" spans="1:32" ht="30" hidden="1" x14ac:dyDescent="0.25">
      <c r="A32" s="11">
        <v>1</v>
      </c>
      <c r="B32" s="11">
        <v>195950</v>
      </c>
      <c r="C32" s="11" t="s">
        <v>82</v>
      </c>
      <c r="D32" s="11" t="str">
        <f>MID(Table22[[#This Row],[تاريخ تاييد]],1,7)</f>
        <v>1403/02</v>
      </c>
      <c r="E32" s="11" t="str">
        <f>MID(Table22[[#This Row],[تاريخ تاييد]],6,2)</f>
        <v>02</v>
      </c>
      <c r="F32" s="11" t="s">
        <v>618</v>
      </c>
      <c r="G32" s="11" t="str">
        <f>VLOOKUP(Table22[[#This Row],[شماره فني]],Sheet7!A:C,3,0)</f>
        <v>NOD</v>
      </c>
      <c r="H32" s="11" t="str">
        <f>VLOOKUP(Table22[[#This Row],[شماره فني]],Sheet7!A:B,2,0)</f>
        <v>NBCM TARA</v>
      </c>
      <c r="I32" s="11" t="s">
        <v>83</v>
      </c>
      <c r="J32" s="11" t="s">
        <v>232</v>
      </c>
      <c r="K32" s="11" t="s">
        <v>22</v>
      </c>
      <c r="L32" s="11" t="s">
        <v>99</v>
      </c>
      <c r="M32" s="11" t="s">
        <v>261</v>
      </c>
      <c r="N32" s="11" t="s">
        <v>261</v>
      </c>
      <c r="O32" s="11" t="s">
        <v>261</v>
      </c>
      <c r="P32" s="11" t="s">
        <v>261</v>
      </c>
      <c r="Q32" s="11" t="s">
        <v>100</v>
      </c>
      <c r="R32" s="11" t="s">
        <v>261</v>
      </c>
      <c r="S32" s="11" t="s">
        <v>822</v>
      </c>
      <c r="T32" s="11" t="s">
        <v>832</v>
      </c>
      <c r="U32" s="11" t="s">
        <v>586</v>
      </c>
      <c r="V32" s="11">
        <v>2</v>
      </c>
      <c r="W32" s="11" t="s">
        <v>15</v>
      </c>
      <c r="X32" s="11" t="s">
        <v>127</v>
      </c>
      <c r="Y32" s="11" t="s">
        <v>99</v>
      </c>
      <c r="Z32" s="11" t="s">
        <v>66</v>
      </c>
      <c r="AA32" s="11" t="s">
        <v>26</v>
      </c>
      <c r="AB32" s="11" t="s">
        <v>261</v>
      </c>
      <c r="AC32" s="11" t="s">
        <v>101</v>
      </c>
      <c r="AD32" s="11" t="s">
        <v>551</v>
      </c>
      <c r="AE32" s="12" t="s">
        <v>261</v>
      </c>
      <c r="AF32" s="11" t="s">
        <v>261</v>
      </c>
    </row>
    <row r="33" spans="1:32" ht="30" hidden="1" x14ac:dyDescent="0.25">
      <c r="A33" s="11">
        <v>1</v>
      </c>
      <c r="B33" s="11">
        <v>196457</v>
      </c>
      <c r="C33" s="11" t="s">
        <v>84</v>
      </c>
      <c r="D33" s="11" t="str">
        <f>MID(Table22[[#This Row],[تاريخ تاييد]],1,7)</f>
        <v>1403/03</v>
      </c>
      <c r="E33" s="11" t="str">
        <f>MID(Table22[[#This Row],[تاريخ تاييد]],6,2)</f>
        <v>03</v>
      </c>
      <c r="F33" s="11" t="s">
        <v>618</v>
      </c>
      <c r="G33" s="11" t="str">
        <f>VLOOKUP(Table22[[#This Row],[شماره فني]],Sheet7!A:C,3,0)</f>
        <v>جلو آمپر</v>
      </c>
      <c r="H33" s="11" t="str">
        <f>VLOOKUP(Table22[[#This Row],[شماره فني]],Sheet7!A:B,2,0)</f>
        <v>جلو آمپر207  معمولی85 گانه</v>
      </c>
      <c r="I33" s="11" t="s">
        <v>85</v>
      </c>
      <c r="J33" s="11" t="s">
        <v>231</v>
      </c>
      <c r="K33" s="11" t="s">
        <v>23</v>
      </c>
      <c r="L33" s="11" t="s">
        <v>122</v>
      </c>
      <c r="M33" s="11" t="s">
        <v>261</v>
      </c>
      <c r="N33" s="11" t="s">
        <v>261</v>
      </c>
      <c r="O33" s="11" t="s">
        <v>261</v>
      </c>
      <c r="P33" s="11" t="s">
        <v>261</v>
      </c>
      <c r="Q33" s="11" t="s">
        <v>5</v>
      </c>
      <c r="R33" s="11" t="s">
        <v>261</v>
      </c>
      <c r="S33" s="11" t="s">
        <v>231</v>
      </c>
      <c r="T33" s="11" t="s">
        <v>797</v>
      </c>
      <c r="U33" s="11" t="s">
        <v>561</v>
      </c>
      <c r="V33" s="11">
        <v>2</v>
      </c>
      <c r="W33" s="11" t="s">
        <v>30</v>
      </c>
      <c r="X33" s="11" t="s">
        <v>261</v>
      </c>
      <c r="Y33" s="11" t="s">
        <v>122</v>
      </c>
      <c r="Z33" s="11" t="s">
        <v>66</v>
      </c>
      <c r="AA33" s="11" t="s">
        <v>28</v>
      </c>
      <c r="AB33" s="11" t="s">
        <v>261</v>
      </c>
      <c r="AC33" s="11" t="s">
        <v>261</v>
      </c>
      <c r="AD33" s="11" t="s">
        <v>551</v>
      </c>
      <c r="AE33" s="12" t="s">
        <v>261</v>
      </c>
      <c r="AF33" s="11" t="s">
        <v>261</v>
      </c>
    </row>
    <row r="34" spans="1:32" ht="30" hidden="1" x14ac:dyDescent="0.25">
      <c r="A34" s="11">
        <v>1</v>
      </c>
      <c r="B34" s="11">
        <v>196490</v>
      </c>
      <c r="C34" s="11" t="s">
        <v>84</v>
      </c>
      <c r="D34" s="11" t="str">
        <f>MID(Table22[[#This Row],[تاريخ تاييد]],1,7)</f>
        <v>1403/03</v>
      </c>
      <c r="E34" s="11" t="str">
        <f>MID(Table22[[#This Row],[تاريخ تاييد]],6,2)</f>
        <v>03</v>
      </c>
      <c r="F34" s="11" t="s">
        <v>618</v>
      </c>
      <c r="G34" s="11" t="str">
        <f>VLOOKUP(Table22[[#This Row],[شماره فني]],Sheet7!A:C,3,0)</f>
        <v>جلو آمپر</v>
      </c>
      <c r="H34" s="11" t="str">
        <f>VLOOKUP(Table22[[#This Row],[شماره فني]],Sheet7!A:B,2,0)</f>
        <v>جلو آمپر تارا دستی</v>
      </c>
      <c r="I34" s="11" t="s">
        <v>86</v>
      </c>
      <c r="J34" s="11" t="s">
        <v>233</v>
      </c>
      <c r="K34" s="11" t="s">
        <v>22</v>
      </c>
      <c r="L34" s="11" t="s">
        <v>122</v>
      </c>
      <c r="M34" s="11" t="s">
        <v>261</v>
      </c>
      <c r="N34" s="11" t="s">
        <v>261</v>
      </c>
      <c r="O34" s="11" t="s">
        <v>261</v>
      </c>
      <c r="P34" s="11" t="s">
        <v>261</v>
      </c>
      <c r="Q34" s="11" t="s">
        <v>146</v>
      </c>
      <c r="R34" s="11" t="s">
        <v>261</v>
      </c>
      <c r="S34" s="11" t="s">
        <v>801</v>
      </c>
      <c r="T34" s="11" t="s">
        <v>797</v>
      </c>
      <c r="U34" s="11" t="s">
        <v>561</v>
      </c>
      <c r="V34" s="11">
        <v>1</v>
      </c>
      <c r="W34" s="11" t="s">
        <v>97</v>
      </c>
      <c r="X34" s="11" t="s">
        <v>147</v>
      </c>
      <c r="Y34" s="11" t="s">
        <v>122</v>
      </c>
      <c r="Z34" s="11" t="s">
        <v>66</v>
      </c>
      <c r="AA34" s="11" t="s">
        <v>28</v>
      </c>
      <c r="AB34" s="11" t="s">
        <v>261</v>
      </c>
      <c r="AC34" s="11" t="s">
        <v>261</v>
      </c>
      <c r="AD34" s="11" t="s">
        <v>551</v>
      </c>
      <c r="AE34" s="12" t="s">
        <v>261</v>
      </c>
      <c r="AF34" s="11" t="s">
        <v>261</v>
      </c>
    </row>
    <row r="35" spans="1:32" ht="30" hidden="1" x14ac:dyDescent="0.25">
      <c r="A35" s="11">
        <v>1</v>
      </c>
      <c r="B35" s="11">
        <v>196491</v>
      </c>
      <c r="C35" s="11" t="s">
        <v>84</v>
      </c>
      <c r="D35" s="11" t="str">
        <f>MID(Table22[[#This Row],[تاريخ تاييد]],1,7)</f>
        <v>1403/03</v>
      </c>
      <c r="E35" s="11" t="str">
        <f>MID(Table22[[#This Row],[تاريخ تاييد]],6,2)</f>
        <v>03</v>
      </c>
      <c r="F35" s="11" t="s">
        <v>618</v>
      </c>
      <c r="G35" s="11" t="str">
        <f>VLOOKUP(Table22[[#This Row],[شماره فني]],Sheet7!A:C,3,0)</f>
        <v>NOD</v>
      </c>
      <c r="H35" s="11" t="str">
        <f>VLOOKUP(Table22[[#This Row],[شماره فني]],Sheet7!A:B,2,0)</f>
        <v>NBCM TARA SAL</v>
      </c>
      <c r="I35" s="11" t="s">
        <v>87</v>
      </c>
      <c r="J35" s="11" t="s">
        <v>730</v>
      </c>
      <c r="K35" s="11" t="s">
        <v>22</v>
      </c>
      <c r="L35" s="11" t="s">
        <v>122</v>
      </c>
      <c r="M35" s="11" t="s">
        <v>261</v>
      </c>
      <c r="N35" s="11" t="s">
        <v>261</v>
      </c>
      <c r="O35" s="11" t="s">
        <v>261</v>
      </c>
      <c r="P35" s="11" t="s">
        <v>261</v>
      </c>
      <c r="Q35" s="11" t="s">
        <v>123</v>
      </c>
      <c r="R35" s="11" t="s">
        <v>258</v>
      </c>
      <c r="S35" s="11" t="s">
        <v>817</v>
      </c>
      <c r="T35" s="11" t="s">
        <v>824</v>
      </c>
      <c r="U35" s="11" t="s">
        <v>565</v>
      </c>
      <c r="V35" s="11">
        <v>1</v>
      </c>
      <c r="W35" s="11" t="s">
        <v>95</v>
      </c>
      <c r="X35" s="11" t="s">
        <v>134</v>
      </c>
      <c r="Y35" s="11" t="s">
        <v>122</v>
      </c>
      <c r="Z35" s="11" t="s">
        <v>66</v>
      </c>
      <c r="AA35" s="11" t="s">
        <v>27</v>
      </c>
      <c r="AB35" s="11" t="s">
        <v>986</v>
      </c>
      <c r="AC35" s="11" t="s">
        <v>261</v>
      </c>
      <c r="AD35" s="11" t="s">
        <v>551</v>
      </c>
      <c r="AE35" s="12" t="s">
        <v>261</v>
      </c>
      <c r="AF35" s="11" t="s">
        <v>261</v>
      </c>
    </row>
    <row r="36" spans="1:32" ht="72.75" hidden="1" customHeight="1" x14ac:dyDescent="0.25">
      <c r="A36" s="11">
        <v>1</v>
      </c>
      <c r="B36" s="11">
        <v>196551</v>
      </c>
      <c r="C36" s="11" t="s">
        <v>88</v>
      </c>
      <c r="D36" s="11" t="str">
        <f>MID(Table22[[#This Row],[تاريخ تاييد]],1,7)</f>
        <v>1403/03</v>
      </c>
      <c r="E36" s="11" t="str">
        <f>MID(Table22[[#This Row],[تاريخ تاييد]],6,2)</f>
        <v>03</v>
      </c>
      <c r="F36" s="11" t="s">
        <v>618</v>
      </c>
      <c r="G36" s="11" t="str">
        <f>VLOOKUP(Table22[[#This Row],[شماره فني]],Sheet7!A:C,3,0)</f>
        <v>جلو آمپر</v>
      </c>
      <c r="H36" s="11" t="str">
        <f>VLOOKUP(Table22[[#This Row],[شماره فني]],Sheet7!A:B,2,0)</f>
        <v>جلو آمپر207  معمولی85 گانه</v>
      </c>
      <c r="I36" s="11" t="s">
        <v>110</v>
      </c>
      <c r="J36" s="11" t="s">
        <v>723</v>
      </c>
      <c r="K36" s="11" t="s">
        <v>261</v>
      </c>
      <c r="L36" s="11" t="s">
        <v>261</v>
      </c>
      <c r="M36" s="11" t="s">
        <v>261</v>
      </c>
      <c r="N36" s="11" t="s">
        <v>261</v>
      </c>
      <c r="O36" s="11" t="s">
        <v>261</v>
      </c>
      <c r="P36" s="11" t="s">
        <v>261</v>
      </c>
      <c r="Q36" s="11" t="s">
        <v>261</v>
      </c>
      <c r="R36" s="11" t="s">
        <v>261</v>
      </c>
      <c r="S36" s="11" t="s">
        <v>805</v>
      </c>
      <c r="T36" s="11" t="s">
        <v>839</v>
      </c>
      <c r="U36" s="11" t="s">
        <v>561</v>
      </c>
      <c r="V36" s="11">
        <v>1</v>
      </c>
      <c r="W36" s="11" t="s">
        <v>30</v>
      </c>
      <c r="X36" s="11" t="s">
        <v>261</v>
      </c>
      <c r="Y36" s="11" t="s">
        <v>261</v>
      </c>
      <c r="Z36" s="11" t="s">
        <v>261</v>
      </c>
      <c r="AA36" s="11" t="s">
        <v>28</v>
      </c>
      <c r="AB36" s="11" t="s">
        <v>261</v>
      </c>
      <c r="AC36" s="11" t="s">
        <v>261</v>
      </c>
      <c r="AD36" s="11" t="s">
        <v>551</v>
      </c>
      <c r="AE36" s="12" t="s">
        <v>261</v>
      </c>
      <c r="AF36" s="11" t="s">
        <v>261</v>
      </c>
    </row>
    <row r="37" spans="1:32" ht="57.75" hidden="1" customHeight="1" x14ac:dyDescent="0.25">
      <c r="A37" s="11">
        <v>1</v>
      </c>
      <c r="B37" s="11">
        <v>196562</v>
      </c>
      <c r="C37" s="11" t="s">
        <v>89</v>
      </c>
      <c r="D37" s="11" t="str">
        <f>MID(Table22[[#This Row],[تاريخ تاييد]],1,7)</f>
        <v>1403/03</v>
      </c>
      <c r="E37" s="11" t="str">
        <f>MID(Table22[[#This Row],[تاريخ تاييد]],6,2)</f>
        <v>03</v>
      </c>
      <c r="F37" s="11" t="s">
        <v>618</v>
      </c>
      <c r="G37" s="11" t="str">
        <f>VLOOKUP(Table22[[#This Row],[شماره فني]],Sheet7!A:C,3,0)</f>
        <v>NOD</v>
      </c>
      <c r="H37" s="11" t="str">
        <f>VLOOKUP(Table22[[#This Row],[شماره فني]],Sheet7!A:B,2,0)</f>
        <v>NBCM TARA</v>
      </c>
      <c r="I37" s="11" t="s">
        <v>90</v>
      </c>
      <c r="J37" s="11" t="s">
        <v>726</v>
      </c>
      <c r="K37" s="11" t="s">
        <v>261</v>
      </c>
      <c r="L37" s="11" t="s">
        <v>261</v>
      </c>
      <c r="M37" s="11" t="s">
        <v>261</v>
      </c>
      <c r="N37" s="11" t="s">
        <v>261</v>
      </c>
      <c r="O37" s="11" t="s">
        <v>261</v>
      </c>
      <c r="P37" s="11" t="s">
        <v>261</v>
      </c>
      <c r="Q37" s="11" t="s">
        <v>961</v>
      </c>
      <c r="R37" s="11" t="s">
        <v>261</v>
      </c>
      <c r="S37" s="11" t="s">
        <v>261</v>
      </c>
      <c r="T37" s="11" t="s">
        <v>552</v>
      </c>
      <c r="U37" s="11" t="s">
        <v>784</v>
      </c>
      <c r="V37" s="11">
        <v>100</v>
      </c>
      <c r="W37" s="11" t="s">
        <v>15</v>
      </c>
      <c r="X37" s="11" t="s">
        <v>261</v>
      </c>
      <c r="Y37" s="11" t="s">
        <v>261</v>
      </c>
      <c r="Z37" s="11" t="s">
        <v>261</v>
      </c>
      <c r="AA37" s="11" t="s">
        <v>583</v>
      </c>
      <c r="AB37" s="11" t="s">
        <v>261</v>
      </c>
      <c r="AC37" s="11" t="s">
        <v>261</v>
      </c>
      <c r="AD37" s="11" t="s">
        <v>551</v>
      </c>
      <c r="AE37" s="12" t="s">
        <v>261</v>
      </c>
      <c r="AF37" s="11" t="s">
        <v>261</v>
      </c>
    </row>
    <row r="38" spans="1:32" ht="30" hidden="1" x14ac:dyDescent="0.25">
      <c r="A38" s="11">
        <v>1</v>
      </c>
      <c r="B38" s="11">
        <v>196698</v>
      </c>
      <c r="C38" s="11" t="s">
        <v>91</v>
      </c>
      <c r="D38" s="11" t="str">
        <f>MID(Table22[[#This Row],[تاريخ تاييد]],1,7)</f>
        <v>1403/03</v>
      </c>
      <c r="E38" s="11" t="str">
        <f>MID(Table22[[#This Row],[تاريخ تاييد]],6,2)</f>
        <v>03</v>
      </c>
      <c r="F38" s="11" t="s">
        <v>618</v>
      </c>
      <c r="G38" s="11" t="str">
        <f>VLOOKUP(Table22[[#This Row],[شماره فني]],Sheet7!A:C,3,0)</f>
        <v>جلو آمپر</v>
      </c>
      <c r="H38" s="11" t="str">
        <f>VLOOKUP(Table22[[#This Row],[شماره فني]],Sheet7!A:B,2,0)</f>
        <v>جلو آمپر تارا اتوماتیک</v>
      </c>
      <c r="I38" s="11" t="s">
        <v>92</v>
      </c>
      <c r="J38" s="11" t="s">
        <v>233</v>
      </c>
      <c r="K38" s="11" t="s">
        <v>22</v>
      </c>
      <c r="L38" s="11" t="s">
        <v>179</v>
      </c>
      <c r="M38" s="11" t="s">
        <v>261</v>
      </c>
      <c r="N38" s="11" t="s">
        <v>261</v>
      </c>
      <c r="O38" s="11" t="s">
        <v>261</v>
      </c>
      <c r="P38" s="11" t="s">
        <v>261</v>
      </c>
      <c r="Q38" s="11" t="s">
        <v>167</v>
      </c>
      <c r="R38" s="11" t="s">
        <v>180</v>
      </c>
      <c r="S38" s="11" t="s">
        <v>801</v>
      </c>
      <c r="T38" s="11" t="s">
        <v>797</v>
      </c>
      <c r="U38" s="11" t="s">
        <v>561</v>
      </c>
      <c r="V38" s="11">
        <v>1</v>
      </c>
      <c r="W38" s="11" t="s">
        <v>20</v>
      </c>
      <c r="X38" s="11" t="s">
        <v>261</v>
      </c>
      <c r="Y38" s="11" t="s">
        <v>179</v>
      </c>
      <c r="Z38" s="11" t="s">
        <v>66</v>
      </c>
      <c r="AA38" s="11" t="s">
        <v>28</v>
      </c>
      <c r="AB38" s="11" t="s">
        <v>261</v>
      </c>
      <c r="AC38" s="11" t="s">
        <v>261</v>
      </c>
      <c r="AD38" s="11" t="s">
        <v>551</v>
      </c>
      <c r="AE38" s="12" t="s">
        <v>261</v>
      </c>
      <c r="AF38" s="11" t="s">
        <v>261</v>
      </c>
    </row>
    <row r="39" spans="1:32" ht="30" hidden="1" x14ac:dyDescent="0.25">
      <c r="A39" s="11">
        <v>1</v>
      </c>
      <c r="B39" s="11">
        <v>196759</v>
      </c>
      <c r="C39" s="11" t="s">
        <v>93</v>
      </c>
      <c r="D39" s="11" t="str">
        <f>MID(Table22[[#This Row],[تاريخ تاييد]],1,7)</f>
        <v>1403/03</v>
      </c>
      <c r="E39" s="11" t="str">
        <f>MID(Table22[[#This Row],[تاريخ تاييد]],6,2)</f>
        <v>03</v>
      </c>
      <c r="F39" s="11" t="s">
        <v>618</v>
      </c>
      <c r="G39" s="11" t="str">
        <f>VLOOKUP(Table22[[#This Row],[شماره فني]],Sheet7!A:C,3,0)</f>
        <v>NOD</v>
      </c>
      <c r="H39" s="11" t="str">
        <f>VLOOKUP(Table22[[#This Row],[شماره فني]],Sheet7!A:B,2,0)</f>
        <v>NBCM 207</v>
      </c>
      <c r="I39" s="11" t="s">
        <v>94</v>
      </c>
      <c r="J39" s="11" t="s">
        <v>725</v>
      </c>
      <c r="K39" s="11" t="s">
        <v>261</v>
      </c>
      <c r="L39" s="11" t="s">
        <v>261</v>
      </c>
      <c r="M39" s="11" t="s">
        <v>261</v>
      </c>
      <c r="N39" s="11" t="s">
        <v>261</v>
      </c>
      <c r="O39" s="11" t="s">
        <v>261</v>
      </c>
      <c r="P39" s="11" t="s">
        <v>261</v>
      </c>
      <c r="Q39" s="11" t="s">
        <v>261</v>
      </c>
      <c r="R39" s="11" t="s">
        <v>261</v>
      </c>
      <c r="S39" s="11" t="s">
        <v>985</v>
      </c>
      <c r="T39" s="11" t="s">
        <v>738</v>
      </c>
      <c r="U39" s="11" t="s">
        <v>737</v>
      </c>
      <c r="V39" s="11">
        <v>3</v>
      </c>
      <c r="W39" s="11" t="s">
        <v>19</v>
      </c>
      <c r="X39" s="11" t="s">
        <v>261</v>
      </c>
      <c r="Y39" s="11" t="s">
        <v>99</v>
      </c>
      <c r="Z39" s="11" t="s">
        <v>66</v>
      </c>
      <c r="AA39" s="11" t="s">
        <v>27</v>
      </c>
      <c r="AB39" s="11" t="s">
        <v>988</v>
      </c>
      <c r="AC39" s="11" t="s">
        <v>261</v>
      </c>
      <c r="AD39" s="11" t="s">
        <v>551</v>
      </c>
      <c r="AE39" s="12" t="s">
        <v>261</v>
      </c>
      <c r="AF39" s="11" t="s">
        <v>261</v>
      </c>
    </row>
    <row r="40" spans="1:32" ht="30" hidden="1" x14ac:dyDescent="0.25">
      <c r="A40" s="11">
        <v>1</v>
      </c>
      <c r="B40" s="11">
        <v>197142</v>
      </c>
      <c r="C40" s="11" t="s">
        <v>112</v>
      </c>
      <c r="D40" s="11" t="str">
        <f>MID(Table22[[#This Row],[تاريخ تاييد]],1,7)</f>
        <v>1403/03</v>
      </c>
      <c r="E40" s="11" t="str">
        <f>MID(Table22[[#This Row],[تاريخ تاييد]],6,2)</f>
        <v>03</v>
      </c>
      <c r="F40" s="11" t="s">
        <v>618</v>
      </c>
      <c r="G40" s="11" t="str">
        <f>VLOOKUP(Table22[[#This Row],[شماره فني]],Sheet7!A:C,3,0)</f>
        <v>NOD</v>
      </c>
      <c r="H40" s="11" t="str">
        <f>VLOOKUP(Table22[[#This Row],[شماره فني]],Sheet7!A:B,2,0)</f>
        <v>NBCM 207</v>
      </c>
      <c r="I40" s="11" t="s">
        <v>113</v>
      </c>
      <c r="J40" s="11" t="s">
        <v>334</v>
      </c>
      <c r="K40" s="11" t="s">
        <v>22</v>
      </c>
      <c r="L40" s="11" t="s">
        <v>151</v>
      </c>
      <c r="M40" s="11" t="s">
        <v>261</v>
      </c>
      <c r="N40" s="11" t="s">
        <v>261</v>
      </c>
      <c r="O40" s="11" t="s">
        <v>261</v>
      </c>
      <c r="P40" s="11" t="s">
        <v>261</v>
      </c>
      <c r="Q40" s="11" t="s">
        <v>806</v>
      </c>
      <c r="R40" s="11" t="s">
        <v>260</v>
      </c>
      <c r="S40" s="11" t="s">
        <v>808</v>
      </c>
      <c r="T40" s="11" t="s">
        <v>809</v>
      </c>
      <c r="U40" s="11" t="s">
        <v>564</v>
      </c>
      <c r="V40" s="11">
        <v>1</v>
      </c>
      <c r="W40" s="11" t="s">
        <v>19</v>
      </c>
      <c r="X40" s="11" t="s">
        <v>261</v>
      </c>
      <c r="Y40" s="11" t="s">
        <v>151</v>
      </c>
      <c r="Z40" s="11" t="s">
        <v>66</v>
      </c>
      <c r="AA40" s="11" t="s">
        <v>29</v>
      </c>
      <c r="AB40" s="11" t="s">
        <v>261</v>
      </c>
      <c r="AC40" s="11" t="s">
        <v>261</v>
      </c>
      <c r="AD40" s="11" t="s">
        <v>551</v>
      </c>
      <c r="AE40" s="12" t="s">
        <v>261</v>
      </c>
      <c r="AF40" s="11" t="s">
        <v>261</v>
      </c>
    </row>
    <row r="41" spans="1:32" ht="30" hidden="1" x14ac:dyDescent="0.25">
      <c r="A41" s="11">
        <v>1</v>
      </c>
      <c r="B41" s="11">
        <v>197145</v>
      </c>
      <c r="C41" s="11" t="s">
        <v>112</v>
      </c>
      <c r="D41" s="11" t="str">
        <f>MID(Table22[[#This Row],[تاريخ تاييد]],1,7)</f>
        <v>1403/03</v>
      </c>
      <c r="E41" s="11" t="str">
        <f>MID(Table22[[#This Row],[تاريخ تاييد]],6,2)</f>
        <v>03</v>
      </c>
      <c r="F41" s="11" t="s">
        <v>618</v>
      </c>
      <c r="G41" s="11" t="str">
        <f>VLOOKUP(Table22[[#This Row],[شماره فني]],Sheet7!A:C,3,0)</f>
        <v>جلو آمپر</v>
      </c>
      <c r="H41" s="11" t="str">
        <f>VLOOKUP(Table22[[#This Row],[شماره فني]],Sheet7!A:B,2,0)</f>
        <v>جلو آمپر207 اتوماتیک85 گانه</v>
      </c>
      <c r="I41" s="11" t="s">
        <v>161</v>
      </c>
      <c r="J41" s="11" t="s">
        <v>231</v>
      </c>
      <c r="K41" s="11" t="s">
        <v>22</v>
      </c>
      <c r="L41" s="11" t="s">
        <v>158</v>
      </c>
      <c r="M41" s="11" t="s">
        <v>261</v>
      </c>
      <c r="N41" s="11" t="s">
        <v>261</v>
      </c>
      <c r="O41" s="11" t="s">
        <v>261</v>
      </c>
      <c r="P41" s="11" t="s">
        <v>261</v>
      </c>
      <c r="Q41" s="11" t="s">
        <v>182</v>
      </c>
      <c r="R41" s="11" t="s">
        <v>261</v>
      </c>
      <c r="S41" s="11" t="s">
        <v>231</v>
      </c>
      <c r="T41" s="11" t="s">
        <v>797</v>
      </c>
      <c r="U41" s="11" t="s">
        <v>561</v>
      </c>
      <c r="V41" s="11">
        <v>1</v>
      </c>
      <c r="W41" s="11" t="s">
        <v>31</v>
      </c>
      <c r="X41" s="11" t="s">
        <v>171</v>
      </c>
      <c r="Y41" s="11" t="s">
        <v>158</v>
      </c>
      <c r="Z41" s="11" t="s">
        <v>66</v>
      </c>
      <c r="AA41" s="11" t="s">
        <v>28</v>
      </c>
      <c r="AB41" s="11" t="s">
        <v>261</v>
      </c>
      <c r="AC41" s="11" t="s">
        <v>261</v>
      </c>
      <c r="AD41" s="11" t="s">
        <v>551</v>
      </c>
      <c r="AE41" s="12" t="s">
        <v>261</v>
      </c>
      <c r="AF41" s="11" t="s">
        <v>261</v>
      </c>
    </row>
    <row r="42" spans="1:32" ht="30" hidden="1" x14ac:dyDescent="0.25">
      <c r="A42" s="11">
        <v>1</v>
      </c>
      <c r="B42" s="11">
        <v>197145</v>
      </c>
      <c r="C42" s="11" t="s">
        <v>112</v>
      </c>
      <c r="D42" s="11" t="str">
        <f>MID(Table22[[#This Row],[تاريخ تاييد]],1,7)</f>
        <v>1403/03</v>
      </c>
      <c r="E42" s="11" t="str">
        <f>MID(Table22[[#This Row],[تاريخ تاييد]],6,2)</f>
        <v>03</v>
      </c>
      <c r="F42" s="11" t="s">
        <v>618</v>
      </c>
      <c r="G42" s="11" t="str">
        <f>VLOOKUP(Table22[[#This Row],[شماره فني]],Sheet7!A:C,3,0)</f>
        <v>جلو آمپر</v>
      </c>
      <c r="H42" s="11" t="str">
        <f>VLOOKUP(Table22[[#This Row],[شماره فني]],Sheet7!A:B,2,0)</f>
        <v>جلو آمپر207 اتوماتیک85 گانه</v>
      </c>
      <c r="I42" s="11" t="s">
        <v>162</v>
      </c>
      <c r="J42" s="11" t="s">
        <v>724</v>
      </c>
      <c r="K42" s="11" t="s">
        <v>22</v>
      </c>
      <c r="L42" s="11" t="s">
        <v>158</v>
      </c>
      <c r="M42" s="11" t="s">
        <v>261</v>
      </c>
      <c r="N42" s="11" t="s">
        <v>261</v>
      </c>
      <c r="O42" s="11" t="s">
        <v>261</v>
      </c>
      <c r="P42" s="11" t="s">
        <v>261</v>
      </c>
      <c r="Q42" s="11" t="s">
        <v>163</v>
      </c>
      <c r="R42" s="11" t="s">
        <v>164</v>
      </c>
      <c r="S42" s="11" t="s">
        <v>978</v>
      </c>
      <c r="T42" s="11" t="s">
        <v>824</v>
      </c>
      <c r="U42" s="11" t="s">
        <v>586</v>
      </c>
      <c r="V42" s="11">
        <v>1</v>
      </c>
      <c r="W42" s="11" t="s">
        <v>31</v>
      </c>
      <c r="X42" s="11" t="s">
        <v>171</v>
      </c>
      <c r="Y42" s="11" t="s">
        <v>158</v>
      </c>
      <c r="Z42" s="11" t="s">
        <v>66</v>
      </c>
      <c r="AA42" s="11" t="s">
        <v>26</v>
      </c>
      <c r="AB42" s="11" t="s">
        <v>261</v>
      </c>
      <c r="AC42" s="11" t="s">
        <v>172</v>
      </c>
      <c r="AD42" s="11" t="s">
        <v>551</v>
      </c>
      <c r="AE42" s="12" t="s">
        <v>261</v>
      </c>
      <c r="AF42" s="11" t="s">
        <v>261</v>
      </c>
    </row>
    <row r="43" spans="1:32" ht="30" hidden="1" x14ac:dyDescent="0.25">
      <c r="A43" s="11">
        <v>1</v>
      </c>
      <c r="B43" s="11">
        <v>197215</v>
      </c>
      <c r="C43" s="11" t="s">
        <v>114</v>
      </c>
      <c r="D43" s="11" t="str">
        <f>MID(Table22[[#This Row],[تاريخ تاييد]],1,7)</f>
        <v>1403/03</v>
      </c>
      <c r="E43" s="11" t="str">
        <f>MID(Table22[[#This Row],[تاريخ تاييد]],6,2)</f>
        <v>03</v>
      </c>
      <c r="F43" s="11" t="s">
        <v>618</v>
      </c>
      <c r="G43" s="11" t="str">
        <f>VLOOKUP(Table22[[#This Row],[شماره فني]],Sheet7!A:C,3,0)</f>
        <v>جلو آمپر</v>
      </c>
      <c r="H43" s="11" t="str">
        <f>VLOOKUP(Table22[[#This Row],[شماره فني]],Sheet7!A:B,2,0)</f>
        <v>جلو آمپر207  معمولی85 گانه</v>
      </c>
      <c r="I43" s="11" t="s">
        <v>115</v>
      </c>
      <c r="J43" s="11" t="s">
        <v>231</v>
      </c>
      <c r="K43" s="11" t="s">
        <v>22</v>
      </c>
      <c r="L43" s="11" t="s">
        <v>158</v>
      </c>
      <c r="M43" s="11" t="s">
        <v>261</v>
      </c>
      <c r="N43" s="11" t="s">
        <v>261</v>
      </c>
      <c r="O43" s="11" t="s">
        <v>261</v>
      </c>
      <c r="P43" s="11" t="s">
        <v>261</v>
      </c>
      <c r="Q43" s="11" t="s">
        <v>159</v>
      </c>
      <c r="R43" s="11" t="s">
        <v>261</v>
      </c>
      <c r="S43" s="11" t="s">
        <v>231</v>
      </c>
      <c r="T43" s="11" t="s">
        <v>797</v>
      </c>
      <c r="U43" s="11" t="s">
        <v>561</v>
      </c>
      <c r="V43" s="11">
        <v>1</v>
      </c>
      <c r="W43" s="11" t="s">
        <v>30</v>
      </c>
      <c r="X43" s="11" t="s">
        <v>261</v>
      </c>
      <c r="Y43" s="11" t="s">
        <v>158</v>
      </c>
      <c r="Z43" s="11" t="s">
        <v>66</v>
      </c>
      <c r="AA43" s="11" t="s">
        <v>28</v>
      </c>
      <c r="AB43" s="11" t="s">
        <v>261</v>
      </c>
      <c r="AC43" s="11" t="s">
        <v>261</v>
      </c>
      <c r="AD43" s="11" t="s">
        <v>551</v>
      </c>
      <c r="AE43" s="12" t="s">
        <v>261</v>
      </c>
      <c r="AF43" s="11" t="s">
        <v>261</v>
      </c>
    </row>
    <row r="44" spans="1:32" ht="30" hidden="1" x14ac:dyDescent="0.25">
      <c r="A44" s="11">
        <v>1</v>
      </c>
      <c r="B44" s="11">
        <v>197331</v>
      </c>
      <c r="C44" s="11" t="s">
        <v>116</v>
      </c>
      <c r="D44" s="11" t="str">
        <f>MID(Table22[[#This Row],[تاريخ تاييد]],1,7)</f>
        <v>1403/03</v>
      </c>
      <c r="E44" s="11" t="str">
        <f>MID(Table22[[#This Row],[تاريخ تاييد]],6,2)</f>
        <v>03</v>
      </c>
      <c r="F44" s="11" t="s">
        <v>618</v>
      </c>
      <c r="G44" s="11" t="str">
        <f>VLOOKUP(Table22[[#This Row],[شماره فني]],Sheet7!A:C,3,0)</f>
        <v>جلو آمپر</v>
      </c>
      <c r="H44" s="11" t="str">
        <f>VLOOKUP(Table22[[#This Row],[شماره فني]],Sheet7!A:B,2,0)</f>
        <v>جلو آمپر تارا اتوماتیک</v>
      </c>
      <c r="I44" s="11" t="s">
        <v>92</v>
      </c>
      <c r="J44" s="11" t="s">
        <v>233</v>
      </c>
      <c r="K44" s="11" t="s">
        <v>22</v>
      </c>
      <c r="L44" s="11" t="s">
        <v>165</v>
      </c>
      <c r="M44" s="11" t="s">
        <v>261</v>
      </c>
      <c r="N44" s="11" t="s">
        <v>261</v>
      </c>
      <c r="O44" s="11" t="s">
        <v>261</v>
      </c>
      <c r="P44" s="11" t="s">
        <v>261</v>
      </c>
      <c r="Q44" s="11" t="s">
        <v>167</v>
      </c>
      <c r="R44" s="11" t="s">
        <v>261</v>
      </c>
      <c r="S44" s="11" t="s">
        <v>801</v>
      </c>
      <c r="T44" s="11" t="s">
        <v>797</v>
      </c>
      <c r="U44" s="11" t="s">
        <v>561</v>
      </c>
      <c r="V44" s="11">
        <v>1</v>
      </c>
      <c r="W44" s="11" t="s">
        <v>20</v>
      </c>
      <c r="X44" s="11" t="s">
        <v>166</v>
      </c>
      <c r="Y44" s="11" t="s">
        <v>165</v>
      </c>
      <c r="Z44" s="11" t="s">
        <v>66</v>
      </c>
      <c r="AA44" s="11" t="s">
        <v>28</v>
      </c>
      <c r="AB44" s="11" t="s">
        <v>261</v>
      </c>
      <c r="AC44" s="11" t="s">
        <v>261</v>
      </c>
      <c r="AD44" s="11" t="s">
        <v>551</v>
      </c>
      <c r="AE44" s="12" t="s">
        <v>261</v>
      </c>
      <c r="AF44" s="11" t="s">
        <v>261</v>
      </c>
    </row>
    <row r="45" spans="1:32" ht="30" hidden="1" x14ac:dyDescent="0.25">
      <c r="A45" s="11">
        <v>1</v>
      </c>
      <c r="B45" s="11">
        <v>197349</v>
      </c>
      <c r="C45" s="11" t="s">
        <v>116</v>
      </c>
      <c r="D45" s="11" t="str">
        <f>MID(Table22[[#This Row],[تاريخ تاييد]],1,7)</f>
        <v>1403/03</v>
      </c>
      <c r="E45" s="11" t="str">
        <f>MID(Table22[[#This Row],[تاريخ تاييد]],6,2)</f>
        <v>03</v>
      </c>
      <c r="F45" s="11" t="s">
        <v>618</v>
      </c>
      <c r="G45" s="11" t="str">
        <f>VLOOKUP(Table22[[#This Row],[شماره فني]],Sheet7!A:C,3,0)</f>
        <v>جلو آمپر</v>
      </c>
      <c r="H45" s="11" t="str">
        <f>VLOOKUP(Table22[[#This Row],[شماره فني]],Sheet7!A:B,2,0)</f>
        <v>جلو آمپر تارا دستی</v>
      </c>
      <c r="I45" s="11" t="s">
        <v>117</v>
      </c>
      <c r="J45" s="11" t="s">
        <v>231</v>
      </c>
      <c r="K45" s="11" t="s">
        <v>22</v>
      </c>
      <c r="L45" s="11" t="s">
        <v>179</v>
      </c>
      <c r="M45" s="11" t="s">
        <v>261</v>
      </c>
      <c r="N45" s="11" t="s">
        <v>261</v>
      </c>
      <c r="O45" s="11" t="s">
        <v>261</v>
      </c>
      <c r="P45" s="11" t="s">
        <v>261</v>
      </c>
      <c r="Q45" s="11" t="s">
        <v>159</v>
      </c>
      <c r="R45" s="11" t="s">
        <v>160</v>
      </c>
      <c r="S45" s="11" t="s">
        <v>231</v>
      </c>
      <c r="T45" s="11" t="s">
        <v>797</v>
      </c>
      <c r="U45" s="11" t="s">
        <v>561</v>
      </c>
      <c r="V45" s="11">
        <v>1</v>
      </c>
      <c r="W45" s="11" t="s">
        <v>97</v>
      </c>
      <c r="X45" s="11" t="s">
        <v>181</v>
      </c>
      <c r="Y45" s="11" t="s">
        <v>158</v>
      </c>
      <c r="Z45" s="11" t="s">
        <v>66</v>
      </c>
      <c r="AA45" s="11" t="s">
        <v>28</v>
      </c>
      <c r="AB45" s="11" t="s">
        <v>261</v>
      </c>
      <c r="AC45" s="11" t="s">
        <v>261</v>
      </c>
      <c r="AD45" s="11" t="s">
        <v>551</v>
      </c>
      <c r="AE45" s="12" t="s">
        <v>261</v>
      </c>
      <c r="AF45" s="11" t="s">
        <v>261</v>
      </c>
    </row>
    <row r="46" spans="1:32" ht="45" hidden="1" x14ac:dyDescent="0.25">
      <c r="A46" s="11">
        <v>1</v>
      </c>
      <c r="B46" s="11">
        <v>197361</v>
      </c>
      <c r="C46" s="11" t="s">
        <v>116</v>
      </c>
      <c r="D46" s="11" t="str">
        <f>MID(Table22[[#This Row],[تاريخ تاييد]],1,7)</f>
        <v>1403/03</v>
      </c>
      <c r="E46" s="11" t="str">
        <f>MID(Table22[[#This Row],[تاريخ تاييد]],6,2)</f>
        <v>03</v>
      </c>
      <c r="F46" s="11" t="s">
        <v>618</v>
      </c>
      <c r="G46" s="11" t="str">
        <f>VLOOKUP(Table22[[#This Row],[شماره فني]],Sheet7!A:C,3,0)</f>
        <v>NOD</v>
      </c>
      <c r="H46" s="11" t="str">
        <f>VLOOKUP(Table22[[#This Row],[شماره فني]],Sheet7!A:B,2,0)</f>
        <v>NBCM TARA SAL</v>
      </c>
      <c r="I46" s="11" t="s">
        <v>118</v>
      </c>
      <c r="J46" s="11" t="s">
        <v>726</v>
      </c>
      <c r="K46" s="11" t="s">
        <v>261</v>
      </c>
      <c r="L46" s="11" t="s">
        <v>261</v>
      </c>
      <c r="M46" s="11" t="s">
        <v>261</v>
      </c>
      <c r="N46" s="11" t="s">
        <v>261</v>
      </c>
      <c r="O46" s="11" t="s">
        <v>261</v>
      </c>
      <c r="P46" s="11" t="s">
        <v>261</v>
      </c>
      <c r="Q46" s="11" t="s">
        <v>961</v>
      </c>
      <c r="R46" s="11" t="s">
        <v>261</v>
      </c>
      <c r="S46" s="11" t="s">
        <v>261</v>
      </c>
      <c r="T46" s="11" t="s">
        <v>552</v>
      </c>
      <c r="U46" s="11" t="s">
        <v>784</v>
      </c>
      <c r="V46" s="11">
        <v>1</v>
      </c>
      <c r="W46" s="11" t="s">
        <v>95</v>
      </c>
      <c r="X46" s="11" t="s">
        <v>261</v>
      </c>
      <c r="Y46" s="11" t="s">
        <v>261</v>
      </c>
      <c r="Z46" s="11" t="s">
        <v>261</v>
      </c>
      <c r="AA46" s="11" t="s">
        <v>583</v>
      </c>
      <c r="AB46" s="11" t="s">
        <v>261</v>
      </c>
      <c r="AC46" s="11" t="s">
        <v>261</v>
      </c>
      <c r="AD46" s="11" t="s">
        <v>551</v>
      </c>
      <c r="AE46" s="12" t="s">
        <v>261</v>
      </c>
      <c r="AF46" s="11" t="s">
        <v>261</v>
      </c>
    </row>
    <row r="47" spans="1:32" ht="45" hidden="1" x14ac:dyDescent="0.25">
      <c r="A47" s="11">
        <v>1</v>
      </c>
      <c r="B47" s="11">
        <v>197421</v>
      </c>
      <c r="C47" s="11" t="s">
        <v>116</v>
      </c>
      <c r="D47" s="11" t="str">
        <f>MID(Table22[[#This Row],[تاريخ تاييد]],1,7)</f>
        <v>1403/03</v>
      </c>
      <c r="E47" s="11" t="str">
        <f>MID(Table22[[#This Row],[تاريخ تاييد]],6,2)</f>
        <v>03</v>
      </c>
      <c r="F47" s="11" t="s">
        <v>618</v>
      </c>
      <c r="G47" s="11" t="str">
        <f>VLOOKUP(Table22[[#This Row],[شماره فني]],Sheet7!A:C,3,0)</f>
        <v>MFD</v>
      </c>
      <c r="H47" s="11" t="str">
        <f>VLOOKUP(Table22[[#This Row],[شماره فني]],Sheet7!A:B,2,0)</f>
        <v>MFD RUNNA</v>
      </c>
      <c r="I47" s="11" t="s">
        <v>120</v>
      </c>
      <c r="J47" s="11" t="s">
        <v>231</v>
      </c>
      <c r="K47" s="11" t="s">
        <v>22</v>
      </c>
      <c r="L47" s="11" t="s">
        <v>165</v>
      </c>
      <c r="M47" s="11" t="s">
        <v>261</v>
      </c>
      <c r="N47" s="11" t="s">
        <v>261</v>
      </c>
      <c r="O47" s="11" t="s">
        <v>261</v>
      </c>
      <c r="P47" s="11" t="s">
        <v>261</v>
      </c>
      <c r="Q47" s="11" t="s">
        <v>159</v>
      </c>
      <c r="R47" s="11" t="s">
        <v>160</v>
      </c>
      <c r="S47" s="11" t="s">
        <v>231</v>
      </c>
      <c r="T47" s="11" t="s">
        <v>797</v>
      </c>
      <c r="U47" s="11" t="s">
        <v>561</v>
      </c>
      <c r="V47" s="11">
        <v>1</v>
      </c>
      <c r="W47" s="11" t="s">
        <v>121</v>
      </c>
      <c r="X47" s="11" t="s">
        <v>169</v>
      </c>
      <c r="Y47" s="11" t="s">
        <v>165</v>
      </c>
      <c r="Z47" s="11" t="s">
        <v>66</v>
      </c>
      <c r="AA47" s="11" t="s">
        <v>28</v>
      </c>
      <c r="AB47" s="11" t="s">
        <v>261</v>
      </c>
      <c r="AC47" s="11" t="s">
        <v>261</v>
      </c>
      <c r="AD47" s="11" t="s">
        <v>551</v>
      </c>
      <c r="AE47" s="12" t="s">
        <v>261</v>
      </c>
      <c r="AF47" s="11" t="s">
        <v>261</v>
      </c>
    </row>
    <row r="48" spans="1:32" ht="45" hidden="1" x14ac:dyDescent="0.25">
      <c r="A48" s="11">
        <v>1</v>
      </c>
      <c r="B48" s="11">
        <v>197569</v>
      </c>
      <c r="C48" s="11" t="s">
        <v>148</v>
      </c>
      <c r="D48" s="11" t="str">
        <f>MID(Table22[[#This Row],[تاريخ تاييد]],1,7)</f>
        <v>1403/03</v>
      </c>
      <c r="E48" s="11" t="str">
        <f>MID(Table22[[#This Row],[تاريخ تاييد]],6,2)</f>
        <v>03</v>
      </c>
      <c r="F48" s="11" t="s">
        <v>618</v>
      </c>
      <c r="G48" s="11" t="str">
        <f>VLOOKUP(Table22[[#This Row],[شماره فني]],Sheet7!A:C,3,0)</f>
        <v>NOD</v>
      </c>
      <c r="H48" s="11" t="str">
        <f>VLOOKUP(Table22[[#This Row],[شماره فني]],Sheet7!A:B,2,0)</f>
        <v>NBCM 207</v>
      </c>
      <c r="I48" s="11" t="s">
        <v>152</v>
      </c>
      <c r="J48" s="11" t="s">
        <v>235</v>
      </c>
      <c r="K48" s="11" t="s">
        <v>261</v>
      </c>
      <c r="L48" s="11" t="s">
        <v>261</v>
      </c>
      <c r="M48" s="11" t="s">
        <v>261</v>
      </c>
      <c r="N48" s="11" t="s">
        <v>261</v>
      </c>
      <c r="O48" s="11" t="s">
        <v>261</v>
      </c>
      <c r="P48" s="11" t="s">
        <v>261</v>
      </c>
      <c r="Q48" s="11" t="s">
        <v>961</v>
      </c>
      <c r="R48" s="11" t="s">
        <v>261</v>
      </c>
      <c r="S48" s="11" t="s">
        <v>261</v>
      </c>
      <c r="T48" s="11" t="s">
        <v>552</v>
      </c>
      <c r="U48" s="11" t="s">
        <v>784</v>
      </c>
      <c r="V48" s="11">
        <v>1</v>
      </c>
      <c r="W48" s="11" t="s">
        <v>19</v>
      </c>
      <c r="X48" s="11" t="s">
        <v>261</v>
      </c>
      <c r="Y48" s="11" t="s">
        <v>261</v>
      </c>
      <c r="Z48" s="11" t="s">
        <v>261</v>
      </c>
      <c r="AA48" s="11" t="s">
        <v>583</v>
      </c>
      <c r="AB48" s="11" t="s">
        <v>261</v>
      </c>
      <c r="AC48" s="11" t="s">
        <v>261</v>
      </c>
      <c r="AD48" s="11" t="s">
        <v>551</v>
      </c>
      <c r="AE48" s="12" t="s">
        <v>261</v>
      </c>
      <c r="AF48" s="11" t="s">
        <v>261</v>
      </c>
    </row>
    <row r="49" spans="1:32" ht="45" hidden="1" x14ac:dyDescent="0.25">
      <c r="A49" s="11">
        <v>1</v>
      </c>
      <c r="B49" s="11">
        <v>197571</v>
      </c>
      <c r="C49" s="11" t="s">
        <v>148</v>
      </c>
      <c r="D49" s="11" t="str">
        <f>MID(Table22[[#This Row],[تاريخ تاييد]],1,7)</f>
        <v>1403/03</v>
      </c>
      <c r="E49" s="11" t="str">
        <f>MID(Table22[[#This Row],[تاريخ تاييد]],6,2)</f>
        <v>03</v>
      </c>
      <c r="F49" s="11" t="s">
        <v>618</v>
      </c>
      <c r="G49" s="11" t="str">
        <f>VLOOKUP(Table22[[#This Row],[شماره فني]],Sheet7!A:C,3,0)</f>
        <v>NOD</v>
      </c>
      <c r="H49" s="11" t="str">
        <f>VLOOKUP(Table22[[#This Row],[شماره فني]],Sheet7!A:B,2,0)</f>
        <v>NBCM TARA SAL</v>
      </c>
      <c r="I49" s="11" t="s">
        <v>153</v>
      </c>
      <c r="J49" s="11" t="s">
        <v>485</v>
      </c>
      <c r="K49" s="11" t="s">
        <v>261</v>
      </c>
      <c r="L49" s="11" t="s">
        <v>261</v>
      </c>
      <c r="M49" s="11" t="s">
        <v>261</v>
      </c>
      <c r="N49" s="11" t="s">
        <v>261</v>
      </c>
      <c r="O49" s="11" t="s">
        <v>261</v>
      </c>
      <c r="P49" s="11" t="s">
        <v>261</v>
      </c>
      <c r="Q49" s="11" t="s">
        <v>961</v>
      </c>
      <c r="R49" s="11" t="s">
        <v>261</v>
      </c>
      <c r="S49" s="11" t="s">
        <v>261</v>
      </c>
      <c r="T49" s="11" t="s">
        <v>552</v>
      </c>
      <c r="U49" s="11" t="s">
        <v>784</v>
      </c>
      <c r="V49" s="11">
        <v>1</v>
      </c>
      <c r="W49" s="11" t="s">
        <v>95</v>
      </c>
      <c r="X49" s="11" t="s">
        <v>261</v>
      </c>
      <c r="Y49" s="11" t="s">
        <v>261</v>
      </c>
      <c r="Z49" s="11" t="s">
        <v>261</v>
      </c>
      <c r="AA49" s="11" t="s">
        <v>583</v>
      </c>
      <c r="AB49" s="11" t="s">
        <v>261</v>
      </c>
      <c r="AC49" s="11" t="s">
        <v>261</v>
      </c>
      <c r="AD49" s="11" t="s">
        <v>551</v>
      </c>
      <c r="AE49" s="12" t="s">
        <v>261</v>
      </c>
      <c r="AF49" s="11" t="s">
        <v>261</v>
      </c>
    </row>
    <row r="50" spans="1:32" ht="30" hidden="1" x14ac:dyDescent="0.25">
      <c r="A50" s="11">
        <v>1</v>
      </c>
      <c r="B50" s="11">
        <v>197710</v>
      </c>
      <c r="C50" s="11" t="s">
        <v>149</v>
      </c>
      <c r="D50" s="11" t="str">
        <f>MID(Table22[[#This Row],[تاريخ تاييد]],1,7)</f>
        <v>1403/03</v>
      </c>
      <c r="E50" s="11" t="str">
        <f>MID(Table22[[#This Row],[تاريخ تاييد]],6,2)</f>
        <v>03</v>
      </c>
      <c r="F50" s="11" t="s">
        <v>618</v>
      </c>
      <c r="G50" s="11" t="str">
        <f>VLOOKUP(Table22[[#This Row],[شماره فني]],Sheet7!A:C,3,0)</f>
        <v>جلو آمپر</v>
      </c>
      <c r="H50" s="11" t="str">
        <f>VLOOKUP(Table22[[#This Row],[شماره فني]],Sheet7!A:B,2,0)</f>
        <v>جلو آمپر دنا ST</v>
      </c>
      <c r="I50" s="11" t="s">
        <v>154</v>
      </c>
      <c r="J50" s="11" t="s">
        <v>233</v>
      </c>
      <c r="K50" s="11" t="s">
        <v>22</v>
      </c>
      <c r="L50" s="11" t="s">
        <v>179</v>
      </c>
      <c r="M50" s="11" t="s">
        <v>261</v>
      </c>
      <c r="N50" s="11" t="s">
        <v>261</v>
      </c>
      <c r="O50" s="11" t="s">
        <v>261</v>
      </c>
      <c r="P50" s="11" t="s">
        <v>261</v>
      </c>
      <c r="Q50" s="11" t="s">
        <v>168</v>
      </c>
      <c r="R50" s="11" t="s">
        <v>160</v>
      </c>
      <c r="S50" s="11" t="s">
        <v>803</v>
      </c>
      <c r="T50" s="11" t="s">
        <v>797</v>
      </c>
      <c r="U50" s="11" t="s">
        <v>561</v>
      </c>
      <c r="V50" s="11">
        <v>1</v>
      </c>
      <c r="W50" s="11" t="s">
        <v>96</v>
      </c>
      <c r="X50" s="11" t="s">
        <v>261</v>
      </c>
      <c r="Y50" s="11" t="s">
        <v>179</v>
      </c>
      <c r="Z50" s="11" t="s">
        <v>66</v>
      </c>
      <c r="AA50" s="11" t="s">
        <v>28</v>
      </c>
      <c r="AB50" s="11" t="s">
        <v>261</v>
      </c>
      <c r="AC50" s="11" t="s">
        <v>261</v>
      </c>
      <c r="AD50" s="11" t="s">
        <v>551</v>
      </c>
      <c r="AE50" s="12" t="s">
        <v>261</v>
      </c>
      <c r="AF50" s="11" t="s">
        <v>261</v>
      </c>
    </row>
    <row r="51" spans="1:32" ht="30" hidden="1" x14ac:dyDescent="0.25">
      <c r="A51" s="11">
        <v>1</v>
      </c>
      <c r="B51" s="11">
        <v>197751</v>
      </c>
      <c r="C51" s="11" t="s">
        <v>149</v>
      </c>
      <c r="D51" s="11" t="str">
        <f>MID(Table22[[#This Row],[تاريخ تاييد]],1,7)</f>
        <v>1403/03</v>
      </c>
      <c r="E51" s="11" t="str">
        <f>MID(Table22[[#This Row],[تاريخ تاييد]],6,2)</f>
        <v>03</v>
      </c>
      <c r="F51" s="11" t="s">
        <v>618</v>
      </c>
      <c r="G51" s="11" t="str">
        <f>VLOOKUP(Table22[[#This Row],[شماره فني]],Sheet7!A:C,3,0)</f>
        <v>جلو آمپر</v>
      </c>
      <c r="H51" s="11" t="str">
        <f>VLOOKUP(Table22[[#This Row],[شماره فني]],Sheet7!A:B,2,0)</f>
        <v>جلو آمپر207  معمولی85 گانه</v>
      </c>
      <c r="I51" s="11" t="s">
        <v>155</v>
      </c>
      <c r="J51" s="11" t="s">
        <v>334</v>
      </c>
      <c r="K51" s="11" t="s">
        <v>23</v>
      </c>
      <c r="L51" s="11" t="s">
        <v>179</v>
      </c>
      <c r="M51" s="11" t="s">
        <v>261</v>
      </c>
      <c r="N51" s="11" t="s">
        <v>261</v>
      </c>
      <c r="O51" s="11" t="s">
        <v>261</v>
      </c>
      <c r="P51" s="11" t="s">
        <v>261</v>
      </c>
      <c r="Q51" s="11" t="s">
        <v>163</v>
      </c>
      <c r="R51" s="11" t="s">
        <v>261</v>
      </c>
      <c r="S51" s="11" t="s">
        <v>978</v>
      </c>
      <c r="T51" s="11" t="s">
        <v>824</v>
      </c>
      <c r="U51" s="11" t="s">
        <v>586</v>
      </c>
      <c r="V51" s="11">
        <v>1</v>
      </c>
      <c r="W51" s="11" t="s">
        <v>30</v>
      </c>
      <c r="X51" s="11" t="s">
        <v>261</v>
      </c>
      <c r="Y51" s="11" t="s">
        <v>179</v>
      </c>
      <c r="Z51" s="11" t="s">
        <v>66</v>
      </c>
      <c r="AA51" s="11" t="s">
        <v>26</v>
      </c>
      <c r="AB51" s="11" t="s">
        <v>261</v>
      </c>
      <c r="AC51" s="11" t="s">
        <v>229</v>
      </c>
      <c r="AD51" s="11" t="s">
        <v>551</v>
      </c>
      <c r="AE51" s="12" t="s">
        <v>261</v>
      </c>
      <c r="AF51" s="11" t="s">
        <v>261</v>
      </c>
    </row>
    <row r="52" spans="1:32" ht="30" hidden="1" x14ac:dyDescent="0.25">
      <c r="A52" s="11">
        <v>1</v>
      </c>
      <c r="B52" s="11">
        <v>197915</v>
      </c>
      <c r="C52" s="11" t="s">
        <v>150</v>
      </c>
      <c r="D52" s="11" t="str">
        <f>MID(Table22[[#This Row],[تاريخ تاييد]],1,7)</f>
        <v>1403/04</v>
      </c>
      <c r="E52" s="11" t="str">
        <f>MID(Table22[[#This Row],[تاريخ تاييد]],6,2)</f>
        <v>04</v>
      </c>
      <c r="F52" s="11" t="s">
        <v>618</v>
      </c>
      <c r="G52" s="11" t="str">
        <f>VLOOKUP(Table22[[#This Row],[شماره فني]],Sheet7!A:C,3,0)</f>
        <v>جلو آمپر</v>
      </c>
      <c r="H52" s="11" t="str">
        <f>VLOOKUP(Table22[[#This Row],[شماره فني]],Sheet7!A:B,2,0)</f>
        <v>جلو آمپر تارا اتوماتیک</v>
      </c>
      <c r="I52" s="11" t="s">
        <v>156</v>
      </c>
      <c r="J52" s="11" t="s">
        <v>233</v>
      </c>
      <c r="K52" s="11" t="s">
        <v>22</v>
      </c>
      <c r="L52" s="11" t="s">
        <v>165</v>
      </c>
      <c r="M52" s="11" t="s">
        <v>261</v>
      </c>
      <c r="N52" s="11" t="s">
        <v>261</v>
      </c>
      <c r="O52" s="11" t="s">
        <v>261</v>
      </c>
      <c r="P52" s="11" t="s">
        <v>261</v>
      </c>
      <c r="Q52" s="11" t="s">
        <v>168</v>
      </c>
      <c r="R52" s="11" t="s">
        <v>160</v>
      </c>
      <c r="S52" s="11" t="s">
        <v>803</v>
      </c>
      <c r="T52" s="11" t="s">
        <v>797</v>
      </c>
      <c r="U52" s="11" t="s">
        <v>561</v>
      </c>
      <c r="V52" s="11">
        <v>1</v>
      </c>
      <c r="W52" s="11" t="s">
        <v>20</v>
      </c>
      <c r="X52" s="11" t="s">
        <v>170</v>
      </c>
      <c r="Y52" s="11" t="s">
        <v>165</v>
      </c>
      <c r="Z52" s="11" t="s">
        <v>66</v>
      </c>
      <c r="AA52" s="11" t="s">
        <v>28</v>
      </c>
      <c r="AB52" s="11" t="s">
        <v>261</v>
      </c>
      <c r="AC52" s="11" t="s">
        <v>261</v>
      </c>
      <c r="AD52" s="11" t="s">
        <v>551</v>
      </c>
      <c r="AE52" s="12" t="s">
        <v>261</v>
      </c>
      <c r="AF52" s="11" t="s">
        <v>261</v>
      </c>
    </row>
    <row r="53" spans="1:32" ht="30" hidden="1" x14ac:dyDescent="0.25">
      <c r="A53" s="11">
        <v>1</v>
      </c>
      <c r="B53" s="11">
        <v>198240</v>
      </c>
      <c r="C53" s="11" t="s">
        <v>151</v>
      </c>
      <c r="D53" s="11" t="str">
        <f>MID(Table22[[#This Row],[تاريخ تاييد]],1,7)</f>
        <v>1403/04</v>
      </c>
      <c r="E53" s="11" t="str">
        <f>MID(Table22[[#This Row],[تاريخ تاييد]],6,2)</f>
        <v>04</v>
      </c>
      <c r="F53" s="11" t="s">
        <v>618</v>
      </c>
      <c r="G53" s="11" t="str">
        <f>VLOOKUP(Table22[[#This Row],[شماره فني]],Sheet7!A:C,3,0)</f>
        <v>جلو آمپر</v>
      </c>
      <c r="H53" s="11" t="str">
        <f>VLOOKUP(Table22[[#This Row],[شماره فني]],Sheet7!A:B,2,0)</f>
        <v>جلو آمپر207 اتوماتیک85 گانه</v>
      </c>
      <c r="I53" s="11" t="s">
        <v>157</v>
      </c>
      <c r="J53" s="11" t="s">
        <v>231</v>
      </c>
      <c r="K53" s="11" t="s">
        <v>22</v>
      </c>
      <c r="L53" s="11" t="s">
        <v>213</v>
      </c>
      <c r="M53" s="11" t="s">
        <v>261</v>
      </c>
      <c r="N53" s="11" t="s">
        <v>261</v>
      </c>
      <c r="O53" s="11" t="s">
        <v>261</v>
      </c>
      <c r="P53" s="11" t="s">
        <v>261</v>
      </c>
      <c r="Q53" s="11" t="s">
        <v>214</v>
      </c>
      <c r="R53" s="11" t="s">
        <v>216</v>
      </c>
      <c r="S53" s="11" t="s">
        <v>231</v>
      </c>
      <c r="T53" s="11" t="s">
        <v>797</v>
      </c>
      <c r="U53" s="11" t="s">
        <v>561</v>
      </c>
      <c r="V53" s="11">
        <v>2</v>
      </c>
      <c r="W53" s="11" t="s">
        <v>31</v>
      </c>
      <c r="X53" s="11" t="s">
        <v>218</v>
      </c>
      <c r="Y53" s="11" t="s">
        <v>222</v>
      </c>
      <c r="Z53" s="11" t="s">
        <v>66</v>
      </c>
      <c r="AA53" s="11" t="s">
        <v>28</v>
      </c>
      <c r="AB53" s="11" t="s">
        <v>261</v>
      </c>
      <c r="AC53" s="11" t="s">
        <v>261</v>
      </c>
      <c r="AD53" s="11" t="s">
        <v>551</v>
      </c>
      <c r="AE53" s="12" t="s">
        <v>261</v>
      </c>
      <c r="AF53" s="11" t="s">
        <v>261</v>
      </c>
    </row>
    <row r="54" spans="1:32" ht="30" hidden="1" x14ac:dyDescent="0.25">
      <c r="A54" s="11">
        <v>1</v>
      </c>
      <c r="B54" s="11">
        <v>198240</v>
      </c>
      <c r="C54" s="11" t="s">
        <v>151</v>
      </c>
      <c r="D54" s="11" t="str">
        <f>MID(Table22[[#This Row],[تاريخ تاييد]],1,7)</f>
        <v>1403/04</v>
      </c>
      <c r="E54" s="11" t="str">
        <f>MID(Table22[[#This Row],[تاريخ تاييد]],6,2)</f>
        <v>04</v>
      </c>
      <c r="F54" s="11" t="s">
        <v>618</v>
      </c>
      <c r="G54" s="11" t="str">
        <f>VLOOKUP(Table22[[#This Row],[شماره فني]],Sheet7!A:C,3,0)</f>
        <v>جلو آمپر</v>
      </c>
      <c r="H54" s="11" t="str">
        <f>VLOOKUP(Table22[[#This Row],[شماره فني]],Sheet7!A:B,2,0)</f>
        <v>جلو آمپر207 اتوماتیک85 گانه</v>
      </c>
      <c r="I54" s="11" t="s">
        <v>157</v>
      </c>
      <c r="J54" s="11" t="s">
        <v>231</v>
      </c>
      <c r="K54" s="11" t="s">
        <v>22</v>
      </c>
      <c r="L54" s="11" t="s">
        <v>213</v>
      </c>
      <c r="M54" s="11" t="s">
        <v>261</v>
      </c>
      <c r="N54" s="11" t="s">
        <v>261</v>
      </c>
      <c r="O54" s="11" t="s">
        <v>261</v>
      </c>
      <c r="P54" s="11" t="s">
        <v>261</v>
      </c>
      <c r="Q54" s="11" t="s">
        <v>214</v>
      </c>
      <c r="R54" s="11" t="s">
        <v>215</v>
      </c>
      <c r="S54" s="11" t="s">
        <v>231</v>
      </c>
      <c r="T54" s="11" t="s">
        <v>1178</v>
      </c>
      <c r="U54" s="11" t="s">
        <v>586</v>
      </c>
      <c r="V54" s="11">
        <v>2</v>
      </c>
      <c r="W54" s="11" t="s">
        <v>31</v>
      </c>
      <c r="X54" s="11" t="s">
        <v>219</v>
      </c>
      <c r="Y54" s="11" t="s">
        <v>222</v>
      </c>
      <c r="Z54" s="11" t="s">
        <v>66</v>
      </c>
      <c r="AA54" s="11" t="s">
        <v>26</v>
      </c>
      <c r="AB54" s="11" t="s">
        <v>261</v>
      </c>
      <c r="AC54" s="11" t="s">
        <v>226</v>
      </c>
      <c r="AD54" s="11" t="s">
        <v>551</v>
      </c>
      <c r="AE54" s="12" t="s">
        <v>261</v>
      </c>
      <c r="AF54" s="11" t="s">
        <v>261</v>
      </c>
    </row>
    <row r="55" spans="1:32" ht="45" hidden="1" x14ac:dyDescent="0.25">
      <c r="A55" s="11">
        <v>1</v>
      </c>
      <c r="B55" s="11">
        <v>198333</v>
      </c>
      <c r="C55" s="11" t="s">
        <v>174</v>
      </c>
      <c r="D55" s="11" t="str">
        <f>MID(Table22[[#This Row],[تاريخ تاييد]],1,7)</f>
        <v>1403/04</v>
      </c>
      <c r="E55" s="11" t="str">
        <f>MID(Table22[[#This Row],[تاريخ تاييد]],6,2)</f>
        <v>04</v>
      </c>
      <c r="F55" s="11" t="s">
        <v>618</v>
      </c>
      <c r="G55" s="11" t="str">
        <f>VLOOKUP(Table22[[#This Row],[شماره فني]],Sheet7!A:C,3,0)</f>
        <v>NOD</v>
      </c>
      <c r="H55" s="11" t="str">
        <f>VLOOKUP(Table22[[#This Row],[شماره فني]],Sheet7!A:B,2,0)</f>
        <v>NBCM 207</v>
      </c>
      <c r="I55" s="11" t="s">
        <v>176</v>
      </c>
      <c r="J55" s="11" t="s">
        <v>726</v>
      </c>
      <c r="K55" s="11" t="s">
        <v>261</v>
      </c>
      <c r="L55" s="11" t="s">
        <v>261</v>
      </c>
      <c r="M55" s="11" t="s">
        <v>261</v>
      </c>
      <c r="N55" s="11" t="s">
        <v>261</v>
      </c>
      <c r="O55" s="11" t="s">
        <v>261</v>
      </c>
      <c r="P55" s="11" t="s">
        <v>261</v>
      </c>
      <c r="Q55" s="11" t="s">
        <v>961</v>
      </c>
      <c r="R55" s="11" t="s">
        <v>261</v>
      </c>
      <c r="S55" s="11" t="s">
        <v>261</v>
      </c>
      <c r="T55" s="11" t="s">
        <v>552</v>
      </c>
      <c r="U55" s="11" t="s">
        <v>784</v>
      </c>
      <c r="V55" s="11">
        <v>1</v>
      </c>
      <c r="W55" s="11" t="s">
        <v>19</v>
      </c>
      <c r="X55" s="11" t="s">
        <v>209</v>
      </c>
      <c r="Y55" s="11" t="s">
        <v>261</v>
      </c>
      <c r="Z55" s="11" t="s">
        <v>261</v>
      </c>
      <c r="AA55" s="11" t="s">
        <v>583</v>
      </c>
      <c r="AB55" s="11" t="s">
        <v>261</v>
      </c>
      <c r="AC55" s="11" t="s">
        <v>261</v>
      </c>
      <c r="AD55" s="11" t="s">
        <v>551</v>
      </c>
      <c r="AE55" s="12" t="s">
        <v>261</v>
      </c>
      <c r="AF55" s="11" t="s">
        <v>261</v>
      </c>
    </row>
    <row r="56" spans="1:32" ht="45" hidden="1" x14ac:dyDescent="0.25">
      <c r="A56" s="11">
        <v>1</v>
      </c>
      <c r="B56" s="11">
        <v>198358</v>
      </c>
      <c r="C56" s="11" t="s">
        <v>175</v>
      </c>
      <c r="D56" s="11" t="str">
        <f>MID(Table22[[#This Row],[تاريخ تاييد]],1,7)</f>
        <v>1403/04</v>
      </c>
      <c r="E56" s="11" t="str">
        <f>MID(Table22[[#This Row],[تاريخ تاييد]],6,2)</f>
        <v>04</v>
      </c>
      <c r="F56" s="11" t="s">
        <v>618</v>
      </c>
      <c r="G56" s="11" t="str">
        <f>VLOOKUP(Table22[[#This Row],[شماره فني]],Sheet7!A:C,3,0)</f>
        <v>NOD</v>
      </c>
      <c r="H56" s="11" t="str">
        <f>VLOOKUP(Table22[[#This Row],[شماره فني]],Sheet7!A:B,2,0)</f>
        <v>NBCM 207</v>
      </c>
      <c r="I56" s="11" t="s">
        <v>177</v>
      </c>
      <c r="J56" s="11" t="s">
        <v>251</v>
      </c>
      <c r="K56" s="11" t="s">
        <v>261</v>
      </c>
      <c r="L56" s="11" t="s">
        <v>261</v>
      </c>
      <c r="M56" s="11" t="s">
        <v>261</v>
      </c>
      <c r="N56" s="11" t="s">
        <v>261</v>
      </c>
      <c r="O56" s="11" t="s">
        <v>261</v>
      </c>
      <c r="P56" s="11" t="s">
        <v>261</v>
      </c>
      <c r="Q56" s="11" t="s">
        <v>961</v>
      </c>
      <c r="R56" s="11" t="s">
        <v>261</v>
      </c>
      <c r="S56" s="11" t="s">
        <v>261</v>
      </c>
      <c r="T56" s="11" t="s">
        <v>552</v>
      </c>
      <c r="U56" s="11" t="s">
        <v>784</v>
      </c>
      <c r="V56" s="11">
        <v>100</v>
      </c>
      <c r="W56" s="11" t="s">
        <v>19</v>
      </c>
      <c r="X56" s="11" t="s">
        <v>261</v>
      </c>
      <c r="Y56" s="11" t="s">
        <v>261</v>
      </c>
      <c r="Z56" s="11" t="s">
        <v>261</v>
      </c>
      <c r="AA56" s="11" t="s">
        <v>583</v>
      </c>
      <c r="AB56" s="11" t="s">
        <v>261</v>
      </c>
      <c r="AC56" s="11" t="s">
        <v>261</v>
      </c>
      <c r="AD56" s="11" t="s">
        <v>551</v>
      </c>
      <c r="AE56" s="12" t="s">
        <v>261</v>
      </c>
      <c r="AF56" s="11" t="s">
        <v>261</v>
      </c>
    </row>
    <row r="57" spans="1:32" ht="30" hidden="1" x14ac:dyDescent="0.25">
      <c r="A57" s="11">
        <v>1</v>
      </c>
      <c r="B57" s="11">
        <v>198376</v>
      </c>
      <c r="C57" s="11" t="s">
        <v>175</v>
      </c>
      <c r="D57" s="11" t="str">
        <f>MID(Table22[[#This Row],[تاريخ تاييد]],1,7)</f>
        <v>1403/04</v>
      </c>
      <c r="E57" s="11" t="str">
        <f>MID(Table22[[#This Row],[تاريخ تاييد]],6,2)</f>
        <v>04</v>
      </c>
      <c r="F57" s="11" t="s">
        <v>618</v>
      </c>
      <c r="G57" s="11" t="str">
        <f>VLOOKUP(Table22[[#This Row],[شماره فني]],Sheet7!A:C,3,0)</f>
        <v>NOD</v>
      </c>
      <c r="H57" s="11" t="str">
        <f>VLOOKUP(Table22[[#This Row],[شماره فني]],Sheet7!A:B,2,0)</f>
        <v>NBCM 207</v>
      </c>
      <c r="I57" s="11" t="s">
        <v>178</v>
      </c>
      <c r="J57" s="11" t="s">
        <v>725</v>
      </c>
      <c r="K57" s="11" t="s">
        <v>261</v>
      </c>
      <c r="L57" s="11" t="s">
        <v>261</v>
      </c>
      <c r="M57" s="11" t="s">
        <v>261</v>
      </c>
      <c r="N57" s="11" t="s">
        <v>261</v>
      </c>
      <c r="O57" s="11" t="s">
        <v>261</v>
      </c>
      <c r="P57" s="11" t="s">
        <v>261</v>
      </c>
      <c r="Q57" s="11" t="s">
        <v>261</v>
      </c>
      <c r="R57" s="11" t="s">
        <v>261</v>
      </c>
      <c r="S57" s="11" t="s">
        <v>985</v>
      </c>
      <c r="T57" s="11" t="s">
        <v>738</v>
      </c>
      <c r="U57" s="11" t="s">
        <v>737</v>
      </c>
      <c r="V57" s="11">
        <v>5</v>
      </c>
      <c r="W57" s="11" t="s">
        <v>19</v>
      </c>
      <c r="X57" s="11" t="s">
        <v>261</v>
      </c>
      <c r="Y57" s="11" t="s">
        <v>261</v>
      </c>
      <c r="Z57" s="11" t="s">
        <v>261</v>
      </c>
      <c r="AA57" s="11" t="s">
        <v>27</v>
      </c>
      <c r="AB57" s="11" t="s">
        <v>988</v>
      </c>
      <c r="AC57" s="11" t="s">
        <v>261</v>
      </c>
      <c r="AD57" s="11" t="s">
        <v>551</v>
      </c>
      <c r="AE57" s="12" t="s">
        <v>261</v>
      </c>
      <c r="AF57" s="11" t="s">
        <v>261</v>
      </c>
    </row>
    <row r="58" spans="1:32" ht="45" hidden="1" x14ac:dyDescent="0.25">
      <c r="A58" s="11">
        <v>1</v>
      </c>
      <c r="B58" s="11">
        <v>198574</v>
      </c>
      <c r="C58" s="11" t="s">
        <v>185</v>
      </c>
      <c r="D58" s="11" t="str">
        <f>MID(Table22[[#This Row],[تاريخ تاييد]],1,7)</f>
        <v>1403/04</v>
      </c>
      <c r="E58" s="11" t="str">
        <f>MID(Table22[[#This Row],[تاريخ تاييد]],6,2)</f>
        <v>04</v>
      </c>
      <c r="F58" s="11" t="s">
        <v>618</v>
      </c>
      <c r="G58" s="11" t="str">
        <f>VLOOKUP(Table22[[#This Row],[شماره فني]],Sheet7!A:C,3,0)</f>
        <v>کلید شیشه بالابر</v>
      </c>
      <c r="H58" s="11" t="str">
        <f>VLOOKUP(Table22[[#This Row],[شماره فني]],Sheet7!A:B,2,0)</f>
        <v>کلید شیشه بالابر جلو راست سورن</v>
      </c>
      <c r="I58" s="11" t="s">
        <v>186</v>
      </c>
      <c r="J58" s="11" t="s">
        <v>723</v>
      </c>
      <c r="K58" s="11" t="s">
        <v>261</v>
      </c>
      <c r="L58" s="11" t="s">
        <v>261</v>
      </c>
      <c r="M58" s="11" t="s">
        <v>261</v>
      </c>
      <c r="N58" s="11" t="s">
        <v>261</v>
      </c>
      <c r="O58" s="11" t="s">
        <v>261</v>
      </c>
      <c r="P58" s="11" t="s">
        <v>261</v>
      </c>
      <c r="Q58" s="11" t="s">
        <v>961</v>
      </c>
      <c r="R58" s="11" t="s">
        <v>261</v>
      </c>
      <c r="S58" s="11" t="s">
        <v>261</v>
      </c>
      <c r="T58" s="11" t="s">
        <v>552</v>
      </c>
      <c r="U58" s="11" t="s">
        <v>784</v>
      </c>
      <c r="V58" s="11">
        <v>10</v>
      </c>
      <c r="W58" s="11" t="s">
        <v>205</v>
      </c>
      <c r="X58" s="11" t="s">
        <v>261</v>
      </c>
      <c r="Y58" s="11" t="s">
        <v>261</v>
      </c>
      <c r="Z58" s="11" t="s">
        <v>261</v>
      </c>
      <c r="AA58" s="11" t="s">
        <v>583</v>
      </c>
      <c r="AB58" s="11" t="s">
        <v>261</v>
      </c>
      <c r="AC58" s="11" t="s">
        <v>261</v>
      </c>
      <c r="AD58" s="11" t="s">
        <v>551</v>
      </c>
      <c r="AE58" s="12" t="s">
        <v>261</v>
      </c>
      <c r="AF58" s="11" t="s">
        <v>261</v>
      </c>
    </row>
    <row r="59" spans="1:32" ht="30" hidden="1" x14ac:dyDescent="0.25">
      <c r="A59" s="11">
        <v>1</v>
      </c>
      <c r="B59" s="11">
        <v>198714</v>
      </c>
      <c r="C59" s="11" t="s">
        <v>187</v>
      </c>
      <c r="D59" s="11" t="str">
        <f>MID(Table22[[#This Row],[تاريخ تاييد]],1,7)</f>
        <v>1403/04</v>
      </c>
      <c r="E59" s="11" t="str">
        <f>MID(Table22[[#This Row],[تاريخ تاييد]],6,2)</f>
        <v>04</v>
      </c>
      <c r="F59" s="11" t="s">
        <v>618</v>
      </c>
      <c r="G59" s="11" t="str">
        <f>VLOOKUP(Table22[[#This Row],[شماره فني]],Sheet7!A:C,3,0)</f>
        <v>NOD</v>
      </c>
      <c r="H59" s="11" t="str">
        <f>VLOOKUP(Table22[[#This Row],[شماره فني]],Sheet7!A:B,2,0)</f>
        <v>NBCM TARA SAL</v>
      </c>
      <c r="I59" s="11" t="s">
        <v>188</v>
      </c>
      <c r="J59" s="11" t="s">
        <v>334</v>
      </c>
      <c r="K59" s="11" t="s">
        <v>22</v>
      </c>
      <c r="L59" s="11" t="s">
        <v>213</v>
      </c>
      <c r="M59" s="11" t="s">
        <v>261</v>
      </c>
      <c r="N59" s="11" t="s">
        <v>261</v>
      </c>
      <c r="O59" s="11" t="s">
        <v>261</v>
      </c>
      <c r="P59" s="11" t="s">
        <v>261</v>
      </c>
      <c r="Q59" s="11" t="s">
        <v>225</v>
      </c>
      <c r="R59" s="11" t="s">
        <v>798</v>
      </c>
      <c r="S59" s="11" t="s">
        <v>799</v>
      </c>
      <c r="T59" s="11" t="s">
        <v>1178</v>
      </c>
      <c r="U59" s="11" t="s">
        <v>563</v>
      </c>
      <c r="V59" s="11">
        <v>1</v>
      </c>
      <c r="W59" s="11" t="s">
        <v>95</v>
      </c>
      <c r="X59" s="11" t="s">
        <v>210</v>
      </c>
      <c r="Y59" s="11" t="s">
        <v>211</v>
      </c>
      <c r="Z59" s="11" t="s">
        <v>66</v>
      </c>
      <c r="AA59" s="11" t="s">
        <v>27</v>
      </c>
      <c r="AB59" s="11" t="s">
        <v>987</v>
      </c>
      <c r="AC59" s="11" t="s">
        <v>261</v>
      </c>
      <c r="AD59" s="11" t="s">
        <v>551</v>
      </c>
      <c r="AE59" s="12" t="s">
        <v>261</v>
      </c>
      <c r="AF59" s="11" t="s">
        <v>261</v>
      </c>
    </row>
    <row r="60" spans="1:32" ht="30" hidden="1" x14ac:dyDescent="0.25">
      <c r="A60" s="11">
        <v>1</v>
      </c>
      <c r="B60" s="11">
        <v>198879</v>
      </c>
      <c r="C60" s="11" t="s">
        <v>189</v>
      </c>
      <c r="D60" s="11" t="str">
        <f>MID(Table22[[#This Row],[تاريخ تاييد]],1,7)</f>
        <v>1403/04</v>
      </c>
      <c r="E60" s="11" t="str">
        <f>MID(Table22[[#This Row],[تاريخ تاييد]],6,2)</f>
        <v>04</v>
      </c>
      <c r="F60" s="11" t="s">
        <v>618</v>
      </c>
      <c r="G60" s="11" t="str">
        <f>VLOOKUP(Table22[[#This Row],[شماره فني]],Sheet7!A:C,3,0)</f>
        <v>جلو آمپر</v>
      </c>
      <c r="H60" s="11" t="str">
        <f>VLOOKUP(Table22[[#This Row],[شماره فني]],Sheet7!A:B,2,0)</f>
        <v>جلو آمپر تارا دستی</v>
      </c>
      <c r="I60" s="11" t="s">
        <v>190</v>
      </c>
      <c r="J60" s="11" t="s">
        <v>233</v>
      </c>
      <c r="K60" s="11" t="s">
        <v>22</v>
      </c>
      <c r="L60" s="11" t="s">
        <v>222</v>
      </c>
      <c r="M60" s="11" t="s">
        <v>261</v>
      </c>
      <c r="N60" s="11" t="s">
        <v>261</v>
      </c>
      <c r="O60" s="11" t="s">
        <v>261</v>
      </c>
      <c r="P60" s="11" t="s">
        <v>261</v>
      </c>
      <c r="Q60" s="11" t="s">
        <v>224</v>
      </c>
      <c r="R60" s="11" t="s">
        <v>182</v>
      </c>
      <c r="S60" s="11" t="s">
        <v>803</v>
      </c>
      <c r="T60" s="11" t="s">
        <v>797</v>
      </c>
      <c r="U60" s="11" t="s">
        <v>561</v>
      </c>
      <c r="V60" s="11">
        <v>1</v>
      </c>
      <c r="W60" s="11" t="s">
        <v>97</v>
      </c>
      <c r="X60" s="11" t="s">
        <v>223</v>
      </c>
      <c r="Y60" s="11" t="s">
        <v>222</v>
      </c>
      <c r="Z60" s="11" t="s">
        <v>66</v>
      </c>
      <c r="AA60" s="11" t="s">
        <v>28</v>
      </c>
      <c r="AB60" s="11" t="s">
        <v>261</v>
      </c>
      <c r="AC60" s="11" t="s">
        <v>261</v>
      </c>
      <c r="AD60" s="11" t="s">
        <v>551</v>
      </c>
      <c r="AE60" s="12" t="s">
        <v>261</v>
      </c>
      <c r="AF60" s="11" t="s">
        <v>261</v>
      </c>
    </row>
    <row r="61" spans="1:32" ht="30" hidden="1" x14ac:dyDescent="0.25">
      <c r="A61" s="11">
        <v>1</v>
      </c>
      <c r="B61" s="11">
        <v>199020</v>
      </c>
      <c r="C61" s="11" t="s">
        <v>191</v>
      </c>
      <c r="D61" s="11" t="str">
        <f>MID(Table22[[#This Row],[تاريخ تاييد]],1,7)</f>
        <v>1403/04</v>
      </c>
      <c r="E61" s="11" t="str">
        <f>MID(Table22[[#This Row],[تاريخ تاييد]],6,2)</f>
        <v>04</v>
      </c>
      <c r="F61" s="11" t="s">
        <v>618</v>
      </c>
      <c r="G61" s="11" t="str">
        <f>VLOOKUP(Table22[[#This Row],[شماره فني]],Sheet7!A:C,3,0)</f>
        <v>کلید شیشه بالابر</v>
      </c>
      <c r="H61" s="11" t="str">
        <f>VLOOKUP(Table22[[#This Row],[شماره فني]],Sheet7!A:B,2,0)</f>
        <v>کلید شیشه بالابر جلو راست سورن</v>
      </c>
      <c r="I61" s="11" t="s">
        <v>192</v>
      </c>
      <c r="J61" s="11" t="s">
        <v>723</v>
      </c>
      <c r="K61" s="11" t="s">
        <v>261</v>
      </c>
      <c r="L61" s="11" t="s">
        <v>261</v>
      </c>
      <c r="M61" s="11" t="s">
        <v>261</v>
      </c>
      <c r="N61" s="11" t="s">
        <v>261</v>
      </c>
      <c r="O61" s="11" t="s">
        <v>261</v>
      </c>
      <c r="P61" s="11" t="s">
        <v>261</v>
      </c>
      <c r="Q61" s="11" t="s">
        <v>261</v>
      </c>
      <c r="R61" s="11" t="s">
        <v>740</v>
      </c>
      <c r="S61" s="11" t="s">
        <v>825</v>
      </c>
      <c r="T61" s="11" t="s">
        <v>827</v>
      </c>
      <c r="U61" s="11" t="s">
        <v>741</v>
      </c>
      <c r="V61" s="11">
        <v>3</v>
      </c>
      <c r="W61" s="11" t="s">
        <v>205</v>
      </c>
      <c r="X61" s="11" t="s">
        <v>261</v>
      </c>
      <c r="Y61" s="11" t="s">
        <v>261</v>
      </c>
      <c r="Z61" s="11" t="s">
        <v>261</v>
      </c>
      <c r="AA61" s="11" t="s">
        <v>28</v>
      </c>
      <c r="AB61" s="11" t="s">
        <v>261</v>
      </c>
      <c r="AC61" s="11" t="s">
        <v>261</v>
      </c>
      <c r="AD61" s="11" t="s">
        <v>551</v>
      </c>
      <c r="AE61" s="12" t="s">
        <v>261</v>
      </c>
      <c r="AF61" s="11" t="s">
        <v>261</v>
      </c>
    </row>
    <row r="62" spans="1:32" ht="30" hidden="1" x14ac:dyDescent="0.25">
      <c r="A62" s="11">
        <v>1</v>
      </c>
      <c r="B62" s="11">
        <v>199251</v>
      </c>
      <c r="C62" s="11" t="s">
        <v>193</v>
      </c>
      <c r="D62" s="11" t="str">
        <f>MID(Table22[[#This Row],[تاريخ تاييد]],1,7)</f>
        <v>1403/04</v>
      </c>
      <c r="E62" s="11" t="str">
        <f>MID(Table22[[#This Row],[تاريخ تاييد]],6,2)</f>
        <v>04</v>
      </c>
      <c r="F62" s="11" t="s">
        <v>618</v>
      </c>
      <c r="G62" s="11" t="str">
        <f>VLOOKUP(Table22[[#This Row],[شماره فني]],Sheet7!A:C,3,0)</f>
        <v>جلو آمپر</v>
      </c>
      <c r="H62" s="11" t="str">
        <f>VLOOKUP(Table22[[#This Row],[شماره فني]],Sheet7!A:B,2,0)</f>
        <v>جلو آمپر دنا اتوماتیک</v>
      </c>
      <c r="I62" s="11" t="s">
        <v>194</v>
      </c>
      <c r="J62" s="11" t="s">
        <v>334</v>
      </c>
      <c r="K62" s="11" t="s">
        <v>22</v>
      </c>
      <c r="L62" s="11" t="s">
        <v>213</v>
      </c>
      <c r="M62" s="11" t="s">
        <v>261</v>
      </c>
      <c r="N62" s="11" t="s">
        <v>261</v>
      </c>
      <c r="O62" s="11" t="s">
        <v>261</v>
      </c>
      <c r="P62" s="11" t="s">
        <v>261</v>
      </c>
      <c r="Q62" s="11" t="s">
        <v>220</v>
      </c>
      <c r="R62" s="11" t="s">
        <v>260</v>
      </c>
      <c r="S62" s="11" t="s">
        <v>808</v>
      </c>
      <c r="T62" s="11" t="s">
        <v>809</v>
      </c>
      <c r="U62" s="11" t="s">
        <v>564</v>
      </c>
      <c r="V62" s="11">
        <v>1</v>
      </c>
      <c r="W62" s="11" t="s">
        <v>21</v>
      </c>
      <c r="X62" s="11" t="s">
        <v>217</v>
      </c>
      <c r="Y62" s="11" t="s">
        <v>212</v>
      </c>
      <c r="Z62" s="11" t="s">
        <v>66</v>
      </c>
      <c r="AA62" s="11" t="s">
        <v>29</v>
      </c>
      <c r="AB62" s="11" t="s">
        <v>261</v>
      </c>
      <c r="AC62" s="11" t="s">
        <v>227</v>
      </c>
      <c r="AD62" s="11" t="s">
        <v>551</v>
      </c>
      <c r="AE62" s="12" t="s">
        <v>261</v>
      </c>
      <c r="AF62" s="11" t="s">
        <v>261</v>
      </c>
    </row>
    <row r="63" spans="1:32" ht="45" hidden="1" x14ac:dyDescent="0.25">
      <c r="A63" s="11">
        <v>1</v>
      </c>
      <c r="B63" s="11">
        <v>199254</v>
      </c>
      <c r="C63" s="11" t="s">
        <v>193</v>
      </c>
      <c r="D63" s="11" t="str">
        <f>MID(Table22[[#This Row],[تاريخ تاييد]],1,7)</f>
        <v>1403/04</v>
      </c>
      <c r="E63" s="11" t="str">
        <f>MID(Table22[[#This Row],[تاريخ تاييد]],6,2)</f>
        <v>04</v>
      </c>
      <c r="F63" s="11" t="s">
        <v>618</v>
      </c>
      <c r="G63" s="11" t="str">
        <f>VLOOKUP(Table22[[#This Row],[شماره فني]],Sheet7!A:C,3,0)</f>
        <v>NOD</v>
      </c>
      <c r="H63" s="11" t="str">
        <f>VLOOKUP(Table22[[#This Row],[شماره فني]],Sheet7!A:B,2,0)</f>
        <v>NBCM 207</v>
      </c>
      <c r="I63" s="11" t="s">
        <v>195</v>
      </c>
      <c r="J63" s="11" t="s">
        <v>251</v>
      </c>
      <c r="K63" s="11" t="s">
        <v>261</v>
      </c>
      <c r="L63" s="11" t="s">
        <v>261</v>
      </c>
      <c r="M63" s="11" t="s">
        <v>261</v>
      </c>
      <c r="N63" s="11" t="s">
        <v>261</v>
      </c>
      <c r="O63" s="11" t="s">
        <v>261</v>
      </c>
      <c r="P63" s="11" t="s">
        <v>261</v>
      </c>
      <c r="Q63" s="11" t="s">
        <v>961</v>
      </c>
      <c r="R63" s="11" t="s">
        <v>261</v>
      </c>
      <c r="S63" s="11" t="s">
        <v>261</v>
      </c>
      <c r="T63" s="11" t="s">
        <v>552</v>
      </c>
      <c r="U63" s="11" t="s">
        <v>784</v>
      </c>
      <c r="V63" s="11">
        <v>16</v>
      </c>
      <c r="W63" s="11" t="s">
        <v>19</v>
      </c>
      <c r="X63" s="11" t="s">
        <v>261</v>
      </c>
      <c r="Y63" s="11" t="s">
        <v>261</v>
      </c>
      <c r="Z63" s="11" t="s">
        <v>261</v>
      </c>
      <c r="AA63" s="11" t="s">
        <v>583</v>
      </c>
      <c r="AB63" s="11" t="s">
        <v>261</v>
      </c>
      <c r="AC63" s="11" t="s">
        <v>261</v>
      </c>
      <c r="AD63" s="11" t="s">
        <v>551</v>
      </c>
      <c r="AE63" s="12" t="s">
        <v>261</v>
      </c>
      <c r="AF63" s="11" t="s">
        <v>261</v>
      </c>
    </row>
    <row r="64" spans="1:32" ht="45" hidden="1" x14ac:dyDescent="0.25">
      <c r="A64" s="11">
        <v>1</v>
      </c>
      <c r="B64" s="11">
        <v>199255</v>
      </c>
      <c r="C64" s="11" t="s">
        <v>193</v>
      </c>
      <c r="D64" s="11" t="str">
        <f>MID(Table22[[#This Row],[تاريخ تاييد]],1,7)</f>
        <v>1403/04</v>
      </c>
      <c r="E64" s="11" t="str">
        <f>MID(Table22[[#This Row],[تاريخ تاييد]],6,2)</f>
        <v>04</v>
      </c>
      <c r="F64" s="11" t="s">
        <v>618</v>
      </c>
      <c r="G64" s="11" t="str">
        <f>VLOOKUP(Table22[[#This Row],[شماره فني]],Sheet7!A:C,3,0)</f>
        <v>جلو آمپر</v>
      </c>
      <c r="H64" s="11" t="str">
        <f>VLOOKUP(Table22[[#This Row],[شماره فني]],Sheet7!A:B,2,0)</f>
        <v>جلو آمپر دنا اتوماتیک</v>
      </c>
      <c r="I64" s="11" t="s">
        <v>196</v>
      </c>
      <c r="J64" s="11" t="s">
        <v>520</v>
      </c>
      <c r="K64" s="11" t="s">
        <v>261</v>
      </c>
      <c r="L64" s="11" t="s">
        <v>261</v>
      </c>
      <c r="M64" s="11" t="s">
        <v>261</v>
      </c>
      <c r="N64" s="11" t="s">
        <v>261</v>
      </c>
      <c r="O64" s="11" t="s">
        <v>261</v>
      </c>
      <c r="P64" s="11" t="s">
        <v>261</v>
      </c>
      <c r="Q64" s="11" t="s">
        <v>961</v>
      </c>
      <c r="R64" s="11" t="s">
        <v>261</v>
      </c>
      <c r="S64" s="11" t="s">
        <v>261</v>
      </c>
      <c r="T64" s="11" t="s">
        <v>552</v>
      </c>
      <c r="U64" s="11" t="s">
        <v>784</v>
      </c>
      <c r="V64" s="11">
        <v>1</v>
      </c>
      <c r="W64" s="11" t="s">
        <v>21</v>
      </c>
      <c r="X64" s="11" t="s">
        <v>261</v>
      </c>
      <c r="Y64" s="11" t="s">
        <v>261</v>
      </c>
      <c r="Z64" s="11" t="s">
        <v>261</v>
      </c>
      <c r="AA64" s="11" t="s">
        <v>583</v>
      </c>
      <c r="AB64" s="11" t="s">
        <v>261</v>
      </c>
      <c r="AC64" s="11" t="s">
        <v>261</v>
      </c>
      <c r="AD64" s="11" t="s">
        <v>551</v>
      </c>
      <c r="AE64" s="12" t="s">
        <v>261</v>
      </c>
      <c r="AF64" s="11" t="s">
        <v>261</v>
      </c>
    </row>
    <row r="65" spans="1:32" ht="45" hidden="1" x14ac:dyDescent="0.25">
      <c r="A65" s="11">
        <v>1</v>
      </c>
      <c r="B65" s="11">
        <v>199258</v>
      </c>
      <c r="C65" s="11" t="s">
        <v>193</v>
      </c>
      <c r="D65" s="11" t="str">
        <f>MID(Table22[[#This Row],[تاريخ تاييد]],1,7)</f>
        <v>1403/04</v>
      </c>
      <c r="E65" s="11" t="str">
        <f>MID(Table22[[#This Row],[تاريخ تاييد]],6,2)</f>
        <v>04</v>
      </c>
      <c r="F65" s="11" t="s">
        <v>618</v>
      </c>
      <c r="G65" s="11" t="str">
        <f>VLOOKUP(Table22[[#This Row],[شماره فني]],Sheet7!A:C,3,0)</f>
        <v>جلو آمپر</v>
      </c>
      <c r="H65" s="11" t="str">
        <f>VLOOKUP(Table22[[#This Row],[شماره فني]],Sheet7!A:B,2,0)</f>
        <v>جلو آمپر207  معمولی85 گانه</v>
      </c>
      <c r="I65" s="11" t="s">
        <v>197</v>
      </c>
      <c r="J65" s="11" t="s">
        <v>724</v>
      </c>
      <c r="K65" s="11" t="s">
        <v>261</v>
      </c>
      <c r="L65" s="11" t="s">
        <v>261</v>
      </c>
      <c r="M65" s="11" t="s">
        <v>261</v>
      </c>
      <c r="N65" s="11" t="s">
        <v>261</v>
      </c>
      <c r="O65" s="11" t="s">
        <v>261</v>
      </c>
      <c r="P65" s="11" t="s">
        <v>261</v>
      </c>
      <c r="Q65" s="11" t="s">
        <v>961</v>
      </c>
      <c r="R65" s="11" t="s">
        <v>261</v>
      </c>
      <c r="S65" s="11" t="s">
        <v>261</v>
      </c>
      <c r="T65" s="11" t="s">
        <v>552</v>
      </c>
      <c r="U65" s="11" t="s">
        <v>784</v>
      </c>
      <c r="V65" s="11">
        <v>1</v>
      </c>
      <c r="W65" s="11" t="s">
        <v>30</v>
      </c>
      <c r="X65" s="11" t="s">
        <v>261</v>
      </c>
      <c r="Y65" s="11" t="s">
        <v>261</v>
      </c>
      <c r="Z65" s="11" t="s">
        <v>261</v>
      </c>
      <c r="AA65" s="11" t="s">
        <v>583</v>
      </c>
      <c r="AB65" s="11" t="s">
        <v>261</v>
      </c>
      <c r="AC65" s="11" t="s">
        <v>261</v>
      </c>
      <c r="AD65" s="11" t="s">
        <v>551</v>
      </c>
      <c r="AE65" s="12" t="s">
        <v>261</v>
      </c>
      <c r="AF65" s="11" t="s">
        <v>261</v>
      </c>
    </row>
    <row r="66" spans="1:32" ht="45" hidden="1" x14ac:dyDescent="0.25">
      <c r="A66" s="11">
        <v>1</v>
      </c>
      <c r="B66" s="11">
        <v>199274</v>
      </c>
      <c r="C66" s="11" t="s">
        <v>193</v>
      </c>
      <c r="D66" s="11" t="str">
        <f>MID(Table22[[#This Row],[تاريخ تاييد]],1,7)</f>
        <v>1403/04</v>
      </c>
      <c r="E66" s="11" t="str">
        <f>MID(Table22[[#This Row],[تاريخ تاييد]],6,2)</f>
        <v>04</v>
      </c>
      <c r="F66" s="11" t="s">
        <v>618</v>
      </c>
      <c r="G66" s="11" t="str">
        <f>VLOOKUP(Table22[[#This Row],[شماره فني]],Sheet7!A:C,3,0)</f>
        <v>MFD</v>
      </c>
      <c r="H66" s="11" t="str">
        <f>VLOOKUP(Table22[[#This Row],[شماره فني]],Sheet7!A:B,2,0)</f>
        <v>MFD RUNNA</v>
      </c>
      <c r="I66" s="11" t="s">
        <v>198</v>
      </c>
      <c r="J66" s="11" t="s">
        <v>231</v>
      </c>
      <c r="K66" s="11" t="s">
        <v>261</v>
      </c>
      <c r="L66" s="11" t="s">
        <v>261</v>
      </c>
      <c r="M66" s="11" t="s">
        <v>261</v>
      </c>
      <c r="N66" s="11" t="s">
        <v>261</v>
      </c>
      <c r="O66" s="11" t="s">
        <v>261</v>
      </c>
      <c r="P66" s="11" t="s">
        <v>261</v>
      </c>
      <c r="Q66" s="11" t="s">
        <v>961</v>
      </c>
      <c r="R66" s="11" t="s">
        <v>261</v>
      </c>
      <c r="S66" s="11" t="s">
        <v>261</v>
      </c>
      <c r="T66" s="11" t="s">
        <v>552</v>
      </c>
      <c r="U66" s="11" t="s">
        <v>784</v>
      </c>
      <c r="V66" s="11">
        <v>1</v>
      </c>
      <c r="W66" s="11" t="s">
        <v>121</v>
      </c>
      <c r="X66" s="11" t="s">
        <v>261</v>
      </c>
      <c r="Y66" s="11" t="s">
        <v>261</v>
      </c>
      <c r="Z66" s="11" t="s">
        <v>261</v>
      </c>
      <c r="AA66" s="11" t="s">
        <v>583</v>
      </c>
      <c r="AB66" s="11" t="s">
        <v>261</v>
      </c>
      <c r="AC66" s="11" t="s">
        <v>261</v>
      </c>
      <c r="AD66" s="11" t="s">
        <v>551</v>
      </c>
      <c r="AE66" s="12" t="s">
        <v>261</v>
      </c>
      <c r="AF66" s="11" t="s">
        <v>261</v>
      </c>
    </row>
    <row r="67" spans="1:32" ht="30" hidden="1" x14ac:dyDescent="0.25">
      <c r="A67" s="11">
        <v>1</v>
      </c>
      <c r="B67" s="11">
        <v>199319</v>
      </c>
      <c r="C67" s="11" t="s">
        <v>199</v>
      </c>
      <c r="D67" s="11" t="str">
        <f>MID(Table22[[#This Row],[تاريخ تاييد]],1,7)</f>
        <v>1403/05</v>
      </c>
      <c r="E67" s="11" t="str">
        <f>MID(Table22[[#This Row],[تاريخ تاييد]],6,2)</f>
        <v>05</v>
      </c>
      <c r="F67" s="11" t="s">
        <v>618</v>
      </c>
      <c r="G67" s="11" t="str">
        <f>VLOOKUP(Table22[[#This Row],[شماره فني]],Sheet7!A:C,3,0)</f>
        <v>جلو آمپر</v>
      </c>
      <c r="H67" s="11" t="str">
        <f>VLOOKUP(Table22[[#This Row],[شماره فني]],Sheet7!A:B,2,0)</f>
        <v>جلو آمپر تارا اتوماتیک</v>
      </c>
      <c r="I67" s="11" t="s">
        <v>200</v>
      </c>
      <c r="J67" s="11" t="s">
        <v>231</v>
      </c>
      <c r="K67" s="11" t="s">
        <v>22</v>
      </c>
      <c r="L67" s="11" t="s">
        <v>213</v>
      </c>
      <c r="M67" s="11" t="s">
        <v>261</v>
      </c>
      <c r="N67" s="11" t="s">
        <v>261</v>
      </c>
      <c r="O67" s="11" t="s">
        <v>261</v>
      </c>
      <c r="P67" s="11" t="s">
        <v>261</v>
      </c>
      <c r="Q67" s="11" t="s">
        <v>228</v>
      </c>
      <c r="R67" s="11" t="s">
        <v>261</v>
      </c>
      <c r="S67" s="11" t="s">
        <v>231</v>
      </c>
      <c r="T67" s="11" t="s">
        <v>797</v>
      </c>
      <c r="U67" s="11" t="s">
        <v>561</v>
      </c>
      <c r="V67" s="11">
        <v>1</v>
      </c>
      <c r="W67" s="11" t="s">
        <v>20</v>
      </c>
      <c r="X67" s="11" t="s">
        <v>221</v>
      </c>
      <c r="Y67" s="11" t="s">
        <v>212</v>
      </c>
      <c r="Z67" s="11" t="s">
        <v>66</v>
      </c>
      <c r="AA67" s="11" t="s">
        <v>28</v>
      </c>
      <c r="AB67" s="11" t="s">
        <v>261</v>
      </c>
      <c r="AC67" s="11" t="s">
        <v>261</v>
      </c>
      <c r="AD67" s="11" t="s">
        <v>551</v>
      </c>
      <c r="AE67" s="12" t="s">
        <v>261</v>
      </c>
      <c r="AF67" s="11" t="s">
        <v>261</v>
      </c>
    </row>
    <row r="68" spans="1:32" ht="45" hidden="1" x14ac:dyDescent="0.25">
      <c r="A68" s="11">
        <v>1</v>
      </c>
      <c r="B68" s="11">
        <v>199378</v>
      </c>
      <c r="C68" s="11" t="s">
        <v>201</v>
      </c>
      <c r="D68" s="11" t="str">
        <f>MID(Table22[[#This Row],[تاريخ تاييد]],1,7)</f>
        <v>1403/05</v>
      </c>
      <c r="E68" s="11" t="str">
        <f>MID(Table22[[#This Row],[تاريخ تاييد]],6,2)</f>
        <v>05</v>
      </c>
      <c r="F68" s="11" t="s">
        <v>618</v>
      </c>
      <c r="G68" s="11" t="str">
        <f>VLOOKUP(Table22[[#This Row],[شماره فني]],Sheet7!A:C,3,0)</f>
        <v>NOD</v>
      </c>
      <c r="H68" s="11" t="str">
        <f>VLOOKUP(Table22[[#This Row],[شماره فني]],Sheet7!A:B,2,0)</f>
        <v>NBCM DENA</v>
      </c>
      <c r="I68" s="11" t="s">
        <v>202</v>
      </c>
      <c r="J68" s="11" t="s">
        <v>334</v>
      </c>
      <c r="K68" s="11" t="s">
        <v>261</v>
      </c>
      <c r="L68" s="11" t="s">
        <v>261</v>
      </c>
      <c r="M68" s="11" t="s">
        <v>261</v>
      </c>
      <c r="N68" s="11" t="s">
        <v>261</v>
      </c>
      <c r="O68" s="11" t="s">
        <v>261</v>
      </c>
      <c r="P68" s="11" t="s">
        <v>261</v>
      </c>
      <c r="Q68" s="11" t="s">
        <v>961</v>
      </c>
      <c r="R68" s="11" t="s">
        <v>261</v>
      </c>
      <c r="S68" s="11" t="s">
        <v>261</v>
      </c>
      <c r="T68" s="11" t="s">
        <v>552</v>
      </c>
      <c r="U68" s="11" t="s">
        <v>784</v>
      </c>
      <c r="V68" s="11">
        <v>1</v>
      </c>
      <c r="W68" s="11" t="s">
        <v>16</v>
      </c>
      <c r="X68" s="11" t="s">
        <v>261</v>
      </c>
      <c r="Y68" s="11" t="s">
        <v>261</v>
      </c>
      <c r="Z68" s="11" t="s">
        <v>261</v>
      </c>
      <c r="AA68" s="11" t="s">
        <v>583</v>
      </c>
      <c r="AB68" s="11" t="s">
        <v>261</v>
      </c>
      <c r="AC68" s="11" t="s">
        <v>261</v>
      </c>
      <c r="AD68" s="11" t="s">
        <v>551</v>
      </c>
      <c r="AE68" s="12" t="s">
        <v>261</v>
      </c>
      <c r="AF68" s="11" t="s">
        <v>261</v>
      </c>
    </row>
    <row r="69" spans="1:32" ht="45" hidden="1" x14ac:dyDescent="0.25">
      <c r="A69" s="11">
        <v>1</v>
      </c>
      <c r="B69" s="11">
        <v>199643</v>
      </c>
      <c r="C69" s="11" t="s">
        <v>203</v>
      </c>
      <c r="D69" s="11" t="str">
        <f>MID(Table22[[#This Row],[تاريخ تاييد]],1,7)</f>
        <v>1403/05</v>
      </c>
      <c r="E69" s="11" t="str">
        <f>MID(Table22[[#This Row],[تاريخ تاييد]],6,2)</f>
        <v>05</v>
      </c>
      <c r="F69" s="11" t="s">
        <v>618</v>
      </c>
      <c r="G69" s="11" t="str">
        <f>VLOOKUP(Table22[[#This Row],[شماره فني]],Sheet7!A:C,3,0)</f>
        <v>جلو آمپر</v>
      </c>
      <c r="H69" s="11" t="str">
        <f>VLOOKUP(Table22[[#This Row],[شماره فني]],Sheet7!A:B,2,0)</f>
        <v>جلو آمپرSOREN TC 85 گانه</v>
      </c>
      <c r="I69" s="11" t="s">
        <v>204</v>
      </c>
      <c r="J69" s="11" t="s">
        <v>724</v>
      </c>
      <c r="K69" s="11" t="s">
        <v>261</v>
      </c>
      <c r="L69" s="11" t="s">
        <v>261</v>
      </c>
      <c r="M69" s="11" t="s">
        <v>261</v>
      </c>
      <c r="N69" s="11" t="s">
        <v>261</v>
      </c>
      <c r="O69" s="11" t="s">
        <v>261</v>
      </c>
      <c r="P69" s="11" t="s">
        <v>261</v>
      </c>
      <c r="Q69" s="11" t="s">
        <v>961</v>
      </c>
      <c r="R69" s="11" t="s">
        <v>261</v>
      </c>
      <c r="S69" s="11" t="s">
        <v>261</v>
      </c>
      <c r="T69" s="11" t="s">
        <v>552</v>
      </c>
      <c r="U69" s="11" t="s">
        <v>784</v>
      </c>
      <c r="V69" s="11">
        <v>5</v>
      </c>
      <c r="W69" s="11" t="s">
        <v>32</v>
      </c>
      <c r="X69" s="11" t="s">
        <v>261</v>
      </c>
      <c r="Y69" s="11" t="s">
        <v>261</v>
      </c>
      <c r="Z69" s="11" t="s">
        <v>261</v>
      </c>
      <c r="AA69" s="11" t="s">
        <v>583</v>
      </c>
      <c r="AB69" s="11" t="s">
        <v>261</v>
      </c>
      <c r="AC69" s="11" t="s">
        <v>261</v>
      </c>
      <c r="AD69" s="11" t="s">
        <v>551</v>
      </c>
      <c r="AE69" s="12" t="s">
        <v>261</v>
      </c>
      <c r="AF69" s="11" t="s">
        <v>261</v>
      </c>
    </row>
    <row r="70" spans="1:32" ht="30" hidden="1" x14ac:dyDescent="0.25">
      <c r="A70" s="11">
        <v>1</v>
      </c>
      <c r="B70" s="11">
        <v>199849</v>
      </c>
      <c r="C70" s="11" t="s">
        <v>206</v>
      </c>
      <c r="D70" s="11" t="str">
        <f>MID(Table22[[#This Row],[تاريخ تاييد]],1,7)</f>
        <v>1403/05</v>
      </c>
      <c r="E70" s="11" t="str">
        <f>MID(Table22[[#This Row],[تاريخ تاييد]],6,2)</f>
        <v>05</v>
      </c>
      <c r="F70" s="11" t="s">
        <v>618</v>
      </c>
      <c r="G70" s="11" t="str">
        <f>VLOOKUP(Table22[[#This Row],[شماره فني]],Sheet7!A:C,3,0)</f>
        <v>NOD</v>
      </c>
      <c r="H70" s="11" t="str">
        <f>VLOOKUP(Table22[[#This Row],[شماره فني]],Sheet7!A:B,2,0)</f>
        <v>NBCM SOREN</v>
      </c>
      <c r="I70" s="11" t="s">
        <v>207</v>
      </c>
      <c r="J70" s="11" t="s">
        <v>725</v>
      </c>
      <c r="K70" s="11" t="s">
        <v>261</v>
      </c>
      <c r="L70" s="11" t="s">
        <v>261</v>
      </c>
      <c r="M70" s="11" t="s">
        <v>261</v>
      </c>
      <c r="N70" s="11" t="s">
        <v>261</v>
      </c>
      <c r="O70" s="11" t="s">
        <v>261</v>
      </c>
      <c r="P70" s="11" t="s">
        <v>261</v>
      </c>
      <c r="Q70" s="11" t="s">
        <v>261</v>
      </c>
      <c r="R70" s="11" t="s">
        <v>261</v>
      </c>
      <c r="S70" s="11" t="s">
        <v>985</v>
      </c>
      <c r="T70" s="11" t="s">
        <v>738</v>
      </c>
      <c r="U70" s="11" t="s">
        <v>737</v>
      </c>
      <c r="V70" s="11">
        <v>5</v>
      </c>
      <c r="W70" s="11" t="s">
        <v>208</v>
      </c>
      <c r="X70" s="11" t="s">
        <v>261</v>
      </c>
      <c r="Y70" s="11" t="s">
        <v>261</v>
      </c>
      <c r="Z70" s="11" t="s">
        <v>261</v>
      </c>
      <c r="AA70" s="11" t="s">
        <v>27</v>
      </c>
      <c r="AB70" s="11" t="s">
        <v>988</v>
      </c>
      <c r="AC70" s="11" t="s">
        <v>261</v>
      </c>
      <c r="AD70" s="11" t="s">
        <v>551</v>
      </c>
      <c r="AE70" s="12" t="s">
        <v>261</v>
      </c>
      <c r="AF70" s="11" t="s">
        <v>261</v>
      </c>
    </row>
    <row r="71" spans="1:32" ht="45" hidden="1" x14ac:dyDescent="0.25">
      <c r="A71" s="11">
        <v>1</v>
      </c>
      <c r="B71" s="11">
        <v>199905</v>
      </c>
      <c r="C71" s="11" t="s">
        <v>236</v>
      </c>
      <c r="D71" s="11" t="str">
        <f>MID(Table22[[#This Row],[تاريخ تاييد]],1,7)</f>
        <v>1403/05</v>
      </c>
      <c r="E71" s="11" t="str">
        <f>MID(Table22[[#This Row],[تاريخ تاييد]],6,2)</f>
        <v>05</v>
      </c>
      <c r="F71" s="11" t="s">
        <v>618</v>
      </c>
      <c r="G71" s="11" t="str">
        <f>VLOOKUP(Table22[[#This Row],[شماره فني]],Sheet7!A:C,3,0)</f>
        <v>NOD</v>
      </c>
      <c r="H71" s="11" t="str">
        <f>VLOOKUP(Table22[[#This Row],[شماره فني]],Sheet7!A:B,2,0)</f>
        <v>NBCM SOREN</v>
      </c>
      <c r="I71" s="11" t="s">
        <v>237</v>
      </c>
      <c r="J71" s="11" t="s">
        <v>334</v>
      </c>
      <c r="K71" s="11" t="s">
        <v>261</v>
      </c>
      <c r="L71" s="11" t="s">
        <v>261</v>
      </c>
      <c r="M71" s="11" t="s">
        <v>261</v>
      </c>
      <c r="N71" s="11" t="s">
        <v>261</v>
      </c>
      <c r="O71" s="11" t="s">
        <v>261</v>
      </c>
      <c r="P71" s="11" t="s">
        <v>261</v>
      </c>
      <c r="Q71" s="11" t="s">
        <v>961</v>
      </c>
      <c r="R71" s="11" t="s">
        <v>261</v>
      </c>
      <c r="S71" s="11" t="s">
        <v>261</v>
      </c>
      <c r="T71" s="11" t="s">
        <v>552</v>
      </c>
      <c r="U71" s="11" t="s">
        <v>784</v>
      </c>
      <c r="V71" s="11">
        <v>1</v>
      </c>
      <c r="W71" s="11" t="s">
        <v>208</v>
      </c>
      <c r="X71" s="11" t="s">
        <v>261</v>
      </c>
      <c r="Y71" s="11" t="s">
        <v>261</v>
      </c>
      <c r="Z71" s="11" t="s">
        <v>261</v>
      </c>
      <c r="AA71" s="11" t="s">
        <v>583</v>
      </c>
      <c r="AB71" s="11" t="s">
        <v>261</v>
      </c>
      <c r="AC71" s="11" t="s">
        <v>261</v>
      </c>
      <c r="AD71" s="11" t="s">
        <v>551</v>
      </c>
      <c r="AE71" s="12" t="s">
        <v>261</v>
      </c>
      <c r="AF71" s="11" t="s">
        <v>261</v>
      </c>
    </row>
    <row r="72" spans="1:32" ht="45" hidden="1" x14ac:dyDescent="0.25">
      <c r="A72" s="11">
        <v>1</v>
      </c>
      <c r="B72" s="11">
        <v>200027</v>
      </c>
      <c r="C72" s="11" t="s">
        <v>238</v>
      </c>
      <c r="D72" s="11" t="str">
        <f>MID(Table22[[#This Row],[تاريخ تاييد]],1,7)</f>
        <v>1403/05</v>
      </c>
      <c r="E72" s="11" t="str">
        <f>MID(Table22[[#This Row],[تاريخ تاييد]],6,2)</f>
        <v>05</v>
      </c>
      <c r="F72" s="11" t="s">
        <v>618</v>
      </c>
      <c r="G72" s="11" t="str">
        <f>VLOOKUP(Table22[[#This Row],[شماره فني]],Sheet7!A:C,3,0)</f>
        <v>جلو آمپر</v>
      </c>
      <c r="H72" s="11" t="str">
        <f>VLOOKUP(Table22[[#This Row],[شماره فني]],Sheet7!A:B,2,0)</f>
        <v>جلو آمپر207 اتوماتیک</v>
      </c>
      <c r="I72" s="11" t="s">
        <v>239</v>
      </c>
      <c r="J72" s="11" t="s">
        <v>334</v>
      </c>
      <c r="K72" s="11" t="s">
        <v>261</v>
      </c>
      <c r="L72" s="11" t="s">
        <v>261</v>
      </c>
      <c r="M72" s="11" t="s">
        <v>261</v>
      </c>
      <c r="N72" s="11" t="s">
        <v>261</v>
      </c>
      <c r="O72" s="11" t="s">
        <v>261</v>
      </c>
      <c r="P72" s="11" t="s">
        <v>261</v>
      </c>
      <c r="Q72" s="11" t="s">
        <v>961</v>
      </c>
      <c r="R72" s="11" t="s">
        <v>261</v>
      </c>
      <c r="S72" s="11" t="s">
        <v>261</v>
      </c>
      <c r="T72" s="11" t="s">
        <v>552</v>
      </c>
      <c r="U72" s="11" t="s">
        <v>784</v>
      </c>
      <c r="V72" s="11">
        <v>15</v>
      </c>
      <c r="W72" s="11" t="s">
        <v>250</v>
      </c>
      <c r="X72" s="11" t="s">
        <v>261</v>
      </c>
      <c r="Y72" s="11" t="s">
        <v>261</v>
      </c>
      <c r="Z72" s="11" t="s">
        <v>261</v>
      </c>
      <c r="AA72" s="11" t="s">
        <v>583</v>
      </c>
      <c r="AB72" s="11" t="s">
        <v>261</v>
      </c>
      <c r="AC72" s="11" t="s">
        <v>261</v>
      </c>
      <c r="AD72" s="11" t="s">
        <v>551</v>
      </c>
      <c r="AE72" s="12" t="s">
        <v>261</v>
      </c>
      <c r="AF72" s="11" t="s">
        <v>261</v>
      </c>
    </row>
    <row r="73" spans="1:32" ht="45" hidden="1" x14ac:dyDescent="0.25">
      <c r="A73" s="11">
        <v>1</v>
      </c>
      <c r="B73" s="11">
        <v>200127</v>
      </c>
      <c r="C73" s="11" t="s">
        <v>240</v>
      </c>
      <c r="D73" s="11" t="str">
        <f>MID(Table22[[#This Row],[تاريخ تاييد]],1,7)</f>
        <v>1403/05</v>
      </c>
      <c r="E73" s="11" t="str">
        <f>MID(Table22[[#This Row],[تاريخ تاييد]],6,2)</f>
        <v>05</v>
      </c>
      <c r="F73" s="11" t="s">
        <v>618</v>
      </c>
      <c r="G73" s="11" t="str">
        <f>VLOOKUP(Table22[[#This Row],[شماره فني]],Sheet7!A:C,3,0)</f>
        <v>کلید شیشه بالابر</v>
      </c>
      <c r="H73" s="11" t="str">
        <f>VLOOKUP(Table22[[#This Row],[شماره فني]],Sheet7!A:B,2,0)</f>
        <v>کلید شیشه بالابر جلو راست سورن</v>
      </c>
      <c r="I73" s="11" t="s">
        <v>242</v>
      </c>
      <c r="J73" s="11" t="s">
        <v>723</v>
      </c>
      <c r="K73" s="11" t="s">
        <v>261</v>
      </c>
      <c r="L73" s="11" t="s">
        <v>261</v>
      </c>
      <c r="M73" s="11" t="s">
        <v>261</v>
      </c>
      <c r="N73" s="11" t="s">
        <v>261</v>
      </c>
      <c r="O73" s="11" t="s">
        <v>261</v>
      </c>
      <c r="P73" s="11" t="s">
        <v>261</v>
      </c>
      <c r="Q73" s="11" t="s">
        <v>961</v>
      </c>
      <c r="R73" s="11" t="s">
        <v>261</v>
      </c>
      <c r="S73" s="11" t="s">
        <v>261</v>
      </c>
      <c r="T73" s="11" t="s">
        <v>552</v>
      </c>
      <c r="U73" s="11" t="s">
        <v>784</v>
      </c>
      <c r="V73" s="11">
        <v>5</v>
      </c>
      <c r="W73" s="11" t="s">
        <v>205</v>
      </c>
      <c r="X73" s="11" t="s">
        <v>261</v>
      </c>
      <c r="Y73" s="11" t="s">
        <v>261</v>
      </c>
      <c r="Z73" s="11" t="s">
        <v>261</v>
      </c>
      <c r="AA73" s="11" t="s">
        <v>583</v>
      </c>
      <c r="AB73" s="11" t="s">
        <v>261</v>
      </c>
      <c r="AC73" s="11" t="s">
        <v>261</v>
      </c>
      <c r="AD73" s="11" t="s">
        <v>551</v>
      </c>
      <c r="AE73" s="12" t="s">
        <v>261</v>
      </c>
      <c r="AF73" s="11" t="s">
        <v>261</v>
      </c>
    </row>
    <row r="74" spans="1:32" ht="45" hidden="1" x14ac:dyDescent="0.25">
      <c r="A74" s="11">
        <v>1</v>
      </c>
      <c r="B74" s="11">
        <v>200259</v>
      </c>
      <c r="C74" s="11" t="s">
        <v>243</v>
      </c>
      <c r="D74" s="11" t="str">
        <f>MID(Table22[[#This Row],[تاريخ تاييد]],1,7)</f>
        <v>1403/05</v>
      </c>
      <c r="E74" s="11" t="str">
        <f>MID(Table22[[#This Row],[تاريخ تاييد]],6,2)</f>
        <v>05</v>
      </c>
      <c r="F74" s="11" t="s">
        <v>618</v>
      </c>
      <c r="G74" s="11" t="str">
        <f>VLOOKUP(Table22[[#This Row],[شماره فني]],Sheet7!A:C,3,0)</f>
        <v>NOD</v>
      </c>
      <c r="H74" s="11" t="str">
        <f>VLOOKUP(Table22[[#This Row],[شماره فني]],Sheet7!A:B,2,0)</f>
        <v>NBCM TARA SAL</v>
      </c>
      <c r="I74" s="11" t="s">
        <v>244</v>
      </c>
      <c r="J74" s="11" t="s">
        <v>730</v>
      </c>
      <c r="K74" s="11" t="s">
        <v>261</v>
      </c>
      <c r="L74" s="11" t="s">
        <v>261</v>
      </c>
      <c r="M74" s="11" t="s">
        <v>261</v>
      </c>
      <c r="N74" s="11" t="s">
        <v>261</v>
      </c>
      <c r="O74" s="11" t="s">
        <v>261</v>
      </c>
      <c r="P74" s="11" t="s">
        <v>261</v>
      </c>
      <c r="Q74" s="11" t="s">
        <v>961</v>
      </c>
      <c r="R74" s="11" t="s">
        <v>261</v>
      </c>
      <c r="S74" s="11" t="s">
        <v>261</v>
      </c>
      <c r="T74" s="11" t="s">
        <v>552</v>
      </c>
      <c r="U74" s="11" t="s">
        <v>784</v>
      </c>
      <c r="V74" s="11">
        <v>1</v>
      </c>
      <c r="W74" s="11" t="s">
        <v>95</v>
      </c>
      <c r="X74" s="11" t="s">
        <v>261</v>
      </c>
      <c r="Y74" s="11" t="s">
        <v>261</v>
      </c>
      <c r="Z74" s="11" t="s">
        <v>261</v>
      </c>
      <c r="AA74" s="11" t="s">
        <v>583</v>
      </c>
      <c r="AB74" s="11" t="s">
        <v>261</v>
      </c>
      <c r="AC74" s="11" t="s">
        <v>261</v>
      </c>
      <c r="AD74" s="11" t="s">
        <v>551</v>
      </c>
      <c r="AE74" s="12" t="s">
        <v>261</v>
      </c>
      <c r="AF74" s="11" t="s">
        <v>261</v>
      </c>
    </row>
    <row r="75" spans="1:32" ht="45" hidden="1" x14ac:dyDescent="0.25">
      <c r="A75" s="11">
        <v>1</v>
      </c>
      <c r="B75" s="11">
        <v>200370</v>
      </c>
      <c r="C75" s="11" t="s">
        <v>245</v>
      </c>
      <c r="D75" s="11" t="str">
        <f>MID(Table22[[#This Row],[تاريخ تاييد]],1,7)</f>
        <v>1403/05</v>
      </c>
      <c r="E75" s="11" t="str">
        <f>MID(Table22[[#This Row],[تاريخ تاييد]],6,2)</f>
        <v>05</v>
      </c>
      <c r="F75" s="11" t="s">
        <v>618</v>
      </c>
      <c r="G75" s="11" t="str">
        <f>VLOOKUP(Table22[[#This Row],[شماره فني]],Sheet7!A:C,3,0)</f>
        <v>NOD</v>
      </c>
      <c r="H75" s="11" t="str">
        <f>VLOOKUP(Table22[[#This Row],[شماره فني]],Sheet7!A:B,2,0)</f>
        <v>NBCM DENA</v>
      </c>
      <c r="I75" s="11" t="s">
        <v>246</v>
      </c>
      <c r="J75" s="11" t="s">
        <v>251</v>
      </c>
      <c r="K75" s="11" t="s">
        <v>261</v>
      </c>
      <c r="L75" s="11" t="s">
        <v>261</v>
      </c>
      <c r="M75" s="11" t="s">
        <v>261</v>
      </c>
      <c r="N75" s="11" t="s">
        <v>261</v>
      </c>
      <c r="O75" s="11" t="s">
        <v>261</v>
      </c>
      <c r="P75" s="11" t="s">
        <v>261</v>
      </c>
      <c r="Q75" s="11" t="s">
        <v>961</v>
      </c>
      <c r="R75" s="11" t="s">
        <v>261</v>
      </c>
      <c r="S75" s="11" t="s">
        <v>261</v>
      </c>
      <c r="T75" s="11" t="s">
        <v>552</v>
      </c>
      <c r="U75" s="11" t="s">
        <v>784</v>
      </c>
      <c r="V75" s="11">
        <v>50</v>
      </c>
      <c r="W75" s="11" t="s">
        <v>16</v>
      </c>
      <c r="X75" s="11" t="s">
        <v>261</v>
      </c>
      <c r="Y75" s="11" t="s">
        <v>261</v>
      </c>
      <c r="Z75" s="11" t="s">
        <v>261</v>
      </c>
      <c r="AA75" s="11" t="s">
        <v>583</v>
      </c>
      <c r="AB75" s="11" t="s">
        <v>261</v>
      </c>
      <c r="AC75" s="11" t="s">
        <v>261</v>
      </c>
      <c r="AD75" s="11" t="s">
        <v>551</v>
      </c>
      <c r="AE75" s="12" t="s">
        <v>261</v>
      </c>
      <c r="AF75" s="11" t="s">
        <v>261</v>
      </c>
    </row>
    <row r="76" spans="1:32" ht="30" hidden="1" x14ac:dyDescent="0.25">
      <c r="A76" s="11">
        <v>1</v>
      </c>
      <c r="B76" s="11">
        <v>200393</v>
      </c>
      <c r="C76" s="11" t="s">
        <v>247</v>
      </c>
      <c r="D76" s="11" t="str">
        <f>MID(Table22[[#This Row],[تاريخ تاييد]],1,7)</f>
        <v>1403/05</v>
      </c>
      <c r="E76" s="11" t="str">
        <f>MID(Table22[[#This Row],[تاريخ تاييد]],6,2)</f>
        <v>05</v>
      </c>
      <c r="F76" s="11" t="s">
        <v>618</v>
      </c>
      <c r="G76" s="11" t="str">
        <f>VLOOKUP(Table22[[#This Row],[شماره فني]],Sheet7!A:C,3,0)</f>
        <v>NOD</v>
      </c>
      <c r="H76" s="11" t="str">
        <f>VLOOKUP(Table22[[#This Row],[شماره فني]],Sheet7!A:B,2,0)</f>
        <v>NBCM TARA SAL</v>
      </c>
      <c r="I76" s="11" t="s">
        <v>248</v>
      </c>
      <c r="J76" s="11" t="s">
        <v>232</v>
      </c>
      <c r="K76" s="11" t="s">
        <v>261</v>
      </c>
      <c r="L76" s="11" t="s">
        <v>261</v>
      </c>
      <c r="M76" s="11" t="s">
        <v>261</v>
      </c>
      <c r="N76" s="11" t="s">
        <v>261</v>
      </c>
      <c r="O76" s="11" t="s">
        <v>261</v>
      </c>
      <c r="P76" s="11" t="s">
        <v>261</v>
      </c>
      <c r="Q76" s="11" t="s">
        <v>262</v>
      </c>
      <c r="R76" s="11" t="s">
        <v>261</v>
      </c>
      <c r="S76" s="11" t="s">
        <v>822</v>
      </c>
      <c r="T76" s="11" t="s">
        <v>797</v>
      </c>
      <c r="U76" s="11" t="s">
        <v>561</v>
      </c>
      <c r="V76" s="11">
        <v>1</v>
      </c>
      <c r="W76" s="11" t="s">
        <v>95</v>
      </c>
      <c r="X76" s="11" t="s">
        <v>261</v>
      </c>
      <c r="Y76" s="11" t="s">
        <v>261</v>
      </c>
      <c r="Z76" s="11" t="s">
        <v>261</v>
      </c>
      <c r="AA76" s="11" t="s">
        <v>28</v>
      </c>
      <c r="AB76" s="11" t="s">
        <v>261</v>
      </c>
      <c r="AC76" s="11" t="s">
        <v>261</v>
      </c>
      <c r="AD76" s="11" t="s">
        <v>551</v>
      </c>
      <c r="AE76" s="12" t="s">
        <v>261</v>
      </c>
      <c r="AF76" s="11" t="s">
        <v>261</v>
      </c>
    </row>
    <row r="77" spans="1:32" ht="45" hidden="1" x14ac:dyDescent="0.25">
      <c r="A77" s="11">
        <v>1</v>
      </c>
      <c r="B77" s="11">
        <v>200454</v>
      </c>
      <c r="C77" s="11" t="s">
        <v>245</v>
      </c>
      <c r="D77" s="11" t="str">
        <f>MID(Table22[[#This Row],[تاريخ تاييد]],1,7)</f>
        <v>1403/05</v>
      </c>
      <c r="E77" s="11" t="str">
        <f>MID(Table22[[#This Row],[تاريخ تاييد]],6,2)</f>
        <v>05</v>
      </c>
      <c r="F77" s="11" t="s">
        <v>618</v>
      </c>
      <c r="G77" s="11" t="str">
        <f>VLOOKUP(Table22[[#This Row],[شماره فني]],Sheet7!A:C,3,0)</f>
        <v>NOD</v>
      </c>
      <c r="H77" s="11" t="str">
        <f>VLOOKUP(Table22[[#This Row],[شماره فني]],Sheet7!A:B,2,0)</f>
        <v>NBCM 207</v>
      </c>
      <c r="I77" s="11" t="s">
        <v>249</v>
      </c>
      <c r="J77" s="11" t="s">
        <v>730</v>
      </c>
      <c r="K77" s="11" t="s">
        <v>261</v>
      </c>
      <c r="L77" s="11" t="s">
        <v>261</v>
      </c>
      <c r="M77" s="11" t="s">
        <v>261</v>
      </c>
      <c r="N77" s="11" t="s">
        <v>261</v>
      </c>
      <c r="O77" s="11" t="s">
        <v>261</v>
      </c>
      <c r="P77" s="11" t="s">
        <v>261</v>
      </c>
      <c r="Q77" s="11" t="s">
        <v>961</v>
      </c>
      <c r="R77" s="11" t="s">
        <v>261</v>
      </c>
      <c r="S77" s="11" t="s">
        <v>261</v>
      </c>
      <c r="T77" s="11" t="s">
        <v>552</v>
      </c>
      <c r="U77" s="11" t="s">
        <v>784</v>
      </c>
      <c r="V77" s="11">
        <v>1</v>
      </c>
      <c r="W77" s="11" t="s">
        <v>19</v>
      </c>
      <c r="X77" s="11" t="s">
        <v>261</v>
      </c>
      <c r="Y77" s="11" t="s">
        <v>261</v>
      </c>
      <c r="Z77" s="11" t="s">
        <v>261</v>
      </c>
      <c r="AA77" s="11" t="s">
        <v>583</v>
      </c>
      <c r="AB77" s="11" t="s">
        <v>261</v>
      </c>
      <c r="AC77" s="11" t="s">
        <v>261</v>
      </c>
      <c r="AD77" s="11" t="s">
        <v>551</v>
      </c>
      <c r="AE77" s="12" t="s">
        <v>261</v>
      </c>
      <c r="AF77" s="11" t="s">
        <v>261</v>
      </c>
    </row>
    <row r="78" spans="1:32" ht="30" hidden="1" x14ac:dyDescent="0.25">
      <c r="A78" s="11">
        <v>1</v>
      </c>
      <c r="B78" s="11">
        <v>200656</v>
      </c>
      <c r="C78" s="11" t="s">
        <v>263</v>
      </c>
      <c r="D78" s="11" t="str">
        <f>MID(Table22[[#This Row],[تاريخ تاييد]],1,7)</f>
        <v>1403/06</v>
      </c>
      <c r="E78" s="11" t="str">
        <f>MID(Table22[[#This Row],[تاريخ تاييد]],6,2)</f>
        <v>06</v>
      </c>
      <c r="F78" s="11" t="s">
        <v>618</v>
      </c>
      <c r="G78" s="11" t="str">
        <f>VLOOKUP(Table22[[#This Row],[شماره فني]],Sheet7!A:C,3,0)</f>
        <v>جلو آمپر</v>
      </c>
      <c r="H78" s="11" t="str">
        <f>VLOOKUP(Table22[[#This Row],[شماره فني]],Sheet7!A:B,2,0)</f>
        <v>جلو آمپر تارا اتوماتیک</v>
      </c>
      <c r="I78" s="11" t="s">
        <v>273</v>
      </c>
      <c r="J78" s="11" t="s">
        <v>231</v>
      </c>
      <c r="K78" s="11" t="s">
        <v>23</v>
      </c>
      <c r="L78" s="11" t="s">
        <v>261</v>
      </c>
      <c r="M78" s="11" t="s">
        <v>261</v>
      </c>
      <c r="N78" s="11" t="s">
        <v>261</v>
      </c>
      <c r="O78" s="11" t="s">
        <v>261</v>
      </c>
      <c r="P78" s="11" t="s">
        <v>261</v>
      </c>
      <c r="Q78" s="11" t="s">
        <v>447</v>
      </c>
      <c r="R78" s="11" t="s">
        <v>584</v>
      </c>
      <c r="S78" s="11" t="s">
        <v>808</v>
      </c>
      <c r="T78" s="11" t="s">
        <v>810</v>
      </c>
      <c r="U78" s="11" t="s">
        <v>586</v>
      </c>
      <c r="V78" s="11">
        <v>1</v>
      </c>
      <c r="W78" s="11" t="s">
        <v>20</v>
      </c>
      <c r="X78" s="11" t="s">
        <v>261</v>
      </c>
      <c r="Y78" s="11" t="s">
        <v>261</v>
      </c>
      <c r="Z78" s="11" t="s">
        <v>261</v>
      </c>
      <c r="AA78" s="11" t="s">
        <v>26</v>
      </c>
      <c r="AB78" s="11" t="s">
        <v>261</v>
      </c>
      <c r="AC78" s="11" t="s">
        <v>448</v>
      </c>
      <c r="AD78" s="11" t="s">
        <v>551</v>
      </c>
      <c r="AE78" s="12" t="s">
        <v>261</v>
      </c>
      <c r="AF78" s="11" t="s">
        <v>261</v>
      </c>
    </row>
    <row r="79" spans="1:32" ht="45" hidden="1" x14ac:dyDescent="0.25">
      <c r="A79" s="11">
        <v>1</v>
      </c>
      <c r="B79" s="11">
        <v>200718</v>
      </c>
      <c r="C79" s="11" t="s">
        <v>264</v>
      </c>
      <c r="D79" s="11" t="str">
        <f>MID(Table22[[#This Row],[تاريخ تاييد]],1,7)</f>
        <v>1403/06</v>
      </c>
      <c r="E79" s="11" t="str">
        <f>MID(Table22[[#This Row],[تاريخ تاييد]],6,2)</f>
        <v>06</v>
      </c>
      <c r="F79" s="11" t="s">
        <v>618</v>
      </c>
      <c r="G79" s="11" t="str">
        <f>VLOOKUP(Table22[[#This Row],[شماره فني]],Sheet7!A:C,3,0)</f>
        <v>جلو آمپر</v>
      </c>
      <c r="H79" s="11" t="str">
        <f>VLOOKUP(Table22[[#This Row],[شماره فني]],Sheet7!A:B,2,0)</f>
        <v>جلو آمپر207  معمولی85 گانه</v>
      </c>
      <c r="I79" s="11" t="s">
        <v>274</v>
      </c>
      <c r="J79" s="11" t="s">
        <v>335</v>
      </c>
      <c r="K79" s="11" t="s">
        <v>261</v>
      </c>
      <c r="L79" s="11" t="s">
        <v>261</v>
      </c>
      <c r="M79" s="11" t="s">
        <v>261</v>
      </c>
      <c r="N79" s="11" t="s">
        <v>261</v>
      </c>
      <c r="O79" s="11" t="s">
        <v>261</v>
      </c>
      <c r="P79" s="11" t="s">
        <v>261</v>
      </c>
      <c r="Q79" s="11" t="s">
        <v>961</v>
      </c>
      <c r="R79" s="11" t="s">
        <v>261</v>
      </c>
      <c r="S79" s="11" t="s">
        <v>261</v>
      </c>
      <c r="T79" s="11" t="s">
        <v>552</v>
      </c>
      <c r="U79" s="11" t="s">
        <v>784</v>
      </c>
      <c r="V79" s="11">
        <v>1</v>
      </c>
      <c r="W79" s="11" t="s">
        <v>30</v>
      </c>
      <c r="X79" s="11" t="s">
        <v>261</v>
      </c>
      <c r="Y79" s="11" t="s">
        <v>261</v>
      </c>
      <c r="Z79" s="11" t="s">
        <v>261</v>
      </c>
      <c r="AA79" s="11" t="s">
        <v>583</v>
      </c>
      <c r="AB79" s="11" t="s">
        <v>261</v>
      </c>
      <c r="AC79" s="11" t="s">
        <v>261</v>
      </c>
      <c r="AD79" s="11" t="s">
        <v>551</v>
      </c>
      <c r="AE79" s="12" t="s">
        <v>965</v>
      </c>
      <c r="AF79" s="11" t="s">
        <v>261</v>
      </c>
    </row>
    <row r="80" spans="1:32" ht="45" hidden="1" x14ac:dyDescent="0.25">
      <c r="A80" s="11">
        <v>1</v>
      </c>
      <c r="B80" s="11">
        <v>200745</v>
      </c>
      <c r="C80" s="11" t="s">
        <v>265</v>
      </c>
      <c r="D80" s="11" t="str">
        <f>MID(Table22[[#This Row],[تاريخ تاييد]],1,7)</f>
        <v>1403/06</v>
      </c>
      <c r="E80" s="11" t="str">
        <f>MID(Table22[[#This Row],[تاريخ تاييد]],6,2)</f>
        <v>06</v>
      </c>
      <c r="F80" s="11" t="s">
        <v>618</v>
      </c>
      <c r="G80" s="11" t="str">
        <f>VLOOKUP(Table22[[#This Row],[شماره فني]],Sheet7!A:C,3,0)</f>
        <v>کلید شیشه بالابر</v>
      </c>
      <c r="H80" s="11" t="str">
        <f>VLOOKUP(Table22[[#This Row],[شماره فني]],Sheet7!A:B,2,0)</f>
        <v>کلید شیشه بالابر عقب چپ سورن</v>
      </c>
      <c r="I80" s="11" t="s">
        <v>275</v>
      </c>
      <c r="J80" s="11" t="s">
        <v>723</v>
      </c>
      <c r="K80" s="11" t="s">
        <v>261</v>
      </c>
      <c r="L80" s="11" t="s">
        <v>261</v>
      </c>
      <c r="M80" s="11" t="s">
        <v>261</v>
      </c>
      <c r="N80" s="11" t="s">
        <v>261</v>
      </c>
      <c r="O80" s="11" t="s">
        <v>261</v>
      </c>
      <c r="P80" s="11" t="s">
        <v>261</v>
      </c>
      <c r="Q80" s="11" t="s">
        <v>961</v>
      </c>
      <c r="R80" s="11" t="s">
        <v>261</v>
      </c>
      <c r="S80" s="11" t="s">
        <v>261</v>
      </c>
      <c r="T80" s="11" t="s">
        <v>552</v>
      </c>
      <c r="U80" s="11" t="s">
        <v>784</v>
      </c>
      <c r="V80" s="11">
        <v>3</v>
      </c>
      <c r="W80" s="11" t="s">
        <v>287</v>
      </c>
      <c r="X80" s="11" t="s">
        <v>261</v>
      </c>
      <c r="Y80" s="11" t="s">
        <v>261</v>
      </c>
      <c r="Z80" s="11" t="s">
        <v>261</v>
      </c>
      <c r="AA80" s="11" t="s">
        <v>583</v>
      </c>
      <c r="AB80" s="11" t="s">
        <v>261</v>
      </c>
      <c r="AC80" s="11" t="s">
        <v>261</v>
      </c>
      <c r="AD80" s="11" t="s">
        <v>551</v>
      </c>
      <c r="AE80" s="12" t="s">
        <v>261</v>
      </c>
      <c r="AF80" s="11" t="s">
        <v>261</v>
      </c>
    </row>
    <row r="81" spans="1:32" ht="45" hidden="1" x14ac:dyDescent="0.25">
      <c r="A81" s="11">
        <v>1</v>
      </c>
      <c r="B81" s="11">
        <v>201013</v>
      </c>
      <c r="C81" s="11" t="s">
        <v>266</v>
      </c>
      <c r="D81" s="11" t="str">
        <f>MID(Table22[[#This Row],[تاريخ تاييد]],1,7)</f>
        <v>1403/06</v>
      </c>
      <c r="E81" s="11" t="str">
        <f>MID(Table22[[#This Row],[تاريخ تاييد]],6,2)</f>
        <v>06</v>
      </c>
      <c r="F81" s="11" t="s">
        <v>618</v>
      </c>
      <c r="G81" s="11" t="str">
        <f>VLOOKUP(Table22[[#This Row],[شماره فني]],Sheet7!A:C,3,0)</f>
        <v>کلید شیشه بالابر</v>
      </c>
      <c r="H81" s="11" t="str">
        <f>VLOOKUP(Table22[[#This Row],[شماره فني]],Sheet7!A:B,2,0)</f>
        <v>کلید شیشه بالابر عقب چپ سورن</v>
      </c>
      <c r="I81" s="11" t="s">
        <v>276</v>
      </c>
      <c r="J81" s="11" t="s">
        <v>723</v>
      </c>
      <c r="K81" s="11" t="s">
        <v>261</v>
      </c>
      <c r="L81" s="11" t="s">
        <v>261</v>
      </c>
      <c r="M81" s="11" t="s">
        <v>261</v>
      </c>
      <c r="N81" s="11" t="s">
        <v>261</v>
      </c>
      <c r="O81" s="11" t="s">
        <v>261</v>
      </c>
      <c r="P81" s="11" t="s">
        <v>261</v>
      </c>
      <c r="Q81" s="11" t="s">
        <v>961</v>
      </c>
      <c r="R81" s="11" t="s">
        <v>261</v>
      </c>
      <c r="S81" s="11" t="s">
        <v>261</v>
      </c>
      <c r="T81" s="11" t="s">
        <v>552</v>
      </c>
      <c r="U81" s="11" t="s">
        <v>784</v>
      </c>
      <c r="V81" s="11">
        <v>10</v>
      </c>
      <c r="W81" s="11" t="s">
        <v>287</v>
      </c>
      <c r="X81" s="11" t="s">
        <v>261</v>
      </c>
      <c r="Y81" s="11" t="s">
        <v>261</v>
      </c>
      <c r="Z81" s="11" t="s">
        <v>261</v>
      </c>
      <c r="AA81" s="11" t="s">
        <v>583</v>
      </c>
      <c r="AB81" s="11" t="s">
        <v>261</v>
      </c>
      <c r="AC81" s="11" t="s">
        <v>261</v>
      </c>
      <c r="AD81" s="11" t="s">
        <v>551</v>
      </c>
      <c r="AE81" s="12" t="s">
        <v>261</v>
      </c>
      <c r="AF81" s="11" t="s">
        <v>261</v>
      </c>
    </row>
    <row r="82" spans="1:32" ht="45" hidden="1" x14ac:dyDescent="0.25">
      <c r="A82" s="11">
        <v>1</v>
      </c>
      <c r="B82" s="11">
        <v>201103</v>
      </c>
      <c r="C82" s="11" t="s">
        <v>267</v>
      </c>
      <c r="D82" s="11" t="str">
        <f>MID(Table22[[#This Row],[تاريخ تاييد]],1,7)</f>
        <v>1403/06</v>
      </c>
      <c r="E82" s="11" t="str">
        <f>MID(Table22[[#This Row],[تاريخ تاييد]],6,2)</f>
        <v>06</v>
      </c>
      <c r="F82" s="11" t="s">
        <v>618</v>
      </c>
      <c r="G82" s="11" t="str">
        <f>VLOOKUP(Table22[[#This Row],[شماره فني]],Sheet7!A:C,3,0)</f>
        <v>MFD</v>
      </c>
      <c r="H82" s="11" t="str">
        <f>VLOOKUP(Table22[[#This Row],[شماره فني]],Sheet7!A:B,2,0)</f>
        <v>MFD RUNNA</v>
      </c>
      <c r="I82" s="11" t="s">
        <v>277</v>
      </c>
      <c r="J82" s="11" t="s">
        <v>231</v>
      </c>
      <c r="K82" s="11" t="s">
        <v>261</v>
      </c>
      <c r="L82" s="11" t="s">
        <v>261</v>
      </c>
      <c r="M82" s="11" t="s">
        <v>261</v>
      </c>
      <c r="N82" s="11" t="s">
        <v>261</v>
      </c>
      <c r="O82" s="11" t="s">
        <v>261</v>
      </c>
      <c r="P82" s="11" t="s">
        <v>261</v>
      </c>
      <c r="Q82" s="11" t="s">
        <v>961</v>
      </c>
      <c r="R82" s="11" t="s">
        <v>261</v>
      </c>
      <c r="S82" s="11" t="s">
        <v>261</v>
      </c>
      <c r="T82" s="11" t="s">
        <v>552</v>
      </c>
      <c r="U82" s="11" t="s">
        <v>784</v>
      </c>
      <c r="V82" s="11">
        <v>1</v>
      </c>
      <c r="W82" s="11" t="s">
        <v>121</v>
      </c>
      <c r="X82" s="11" t="s">
        <v>261</v>
      </c>
      <c r="Y82" s="11" t="s">
        <v>261</v>
      </c>
      <c r="Z82" s="11" t="s">
        <v>261</v>
      </c>
      <c r="AA82" s="11" t="s">
        <v>583</v>
      </c>
      <c r="AB82" s="11" t="s">
        <v>261</v>
      </c>
      <c r="AC82" s="11" t="s">
        <v>261</v>
      </c>
      <c r="AD82" s="11" t="s">
        <v>551</v>
      </c>
      <c r="AE82" s="12" t="s">
        <v>261</v>
      </c>
      <c r="AF82" s="11" t="s">
        <v>261</v>
      </c>
    </row>
    <row r="83" spans="1:32" ht="30" hidden="1" x14ac:dyDescent="0.25">
      <c r="A83" s="11">
        <v>1</v>
      </c>
      <c r="B83" s="11">
        <v>201154</v>
      </c>
      <c r="C83" s="11" t="s">
        <v>268</v>
      </c>
      <c r="D83" s="11" t="str">
        <f>MID(Table22[[#This Row],[تاريخ تاييد]],1,7)</f>
        <v>1403/06</v>
      </c>
      <c r="E83" s="11" t="str">
        <f>MID(Table22[[#This Row],[تاريخ تاييد]],6,2)</f>
        <v>06</v>
      </c>
      <c r="F83" s="11" t="s">
        <v>618</v>
      </c>
      <c r="G83" s="11" t="str">
        <f>VLOOKUP(Table22[[#This Row],[شماره فني]],Sheet7!A:C,3,0)</f>
        <v>جلو آمپر</v>
      </c>
      <c r="H83" s="11" t="str">
        <f>VLOOKUP(Table22[[#This Row],[شماره فني]],Sheet7!A:B,2,0)</f>
        <v>جلو آمپر تارا دستی</v>
      </c>
      <c r="I83" s="11" t="s">
        <v>278</v>
      </c>
      <c r="J83" s="11" t="s">
        <v>231</v>
      </c>
      <c r="K83" s="11" t="s">
        <v>261</v>
      </c>
      <c r="L83" s="11" t="s">
        <v>261</v>
      </c>
      <c r="M83" s="11" t="s">
        <v>261</v>
      </c>
      <c r="N83" s="11" t="s">
        <v>261</v>
      </c>
      <c r="O83" s="11" t="s">
        <v>261</v>
      </c>
      <c r="P83" s="11" t="s">
        <v>261</v>
      </c>
      <c r="Q83" s="11" t="s">
        <v>261</v>
      </c>
      <c r="R83" s="11" t="s">
        <v>261</v>
      </c>
      <c r="S83" s="11" t="s">
        <v>231</v>
      </c>
      <c r="T83" s="11" t="s">
        <v>797</v>
      </c>
      <c r="U83" s="11" t="s">
        <v>561</v>
      </c>
      <c r="V83" s="11">
        <v>1</v>
      </c>
      <c r="W83" s="11" t="s">
        <v>97</v>
      </c>
      <c r="X83" s="11" t="s">
        <v>261</v>
      </c>
      <c r="Y83" s="11" t="s">
        <v>261</v>
      </c>
      <c r="Z83" s="11" t="s">
        <v>261</v>
      </c>
      <c r="AA83" s="11" t="s">
        <v>28</v>
      </c>
      <c r="AB83" s="11" t="s">
        <v>261</v>
      </c>
      <c r="AC83" s="11" t="s">
        <v>261</v>
      </c>
      <c r="AD83" s="11" t="s">
        <v>551</v>
      </c>
      <c r="AE83" s="12" t="s">
        <v>261</v>
      </c>
      <c r="AF83" s="11" t="s">
        <v>261</v>
      </c>
    </row>
    <row r="84" spans="1:32" ht="30" hidden="1" x14ac:dyDescent="0.25">
      <c r="A84" s="11">
        <v>1</v>
      </c>
      <c r="B84" s="11">
        <v>201186</v>
      </c>
      <c r="C84" s="11" t="s">
        <v>269</v>
      </c>
      <c r="D84" s="11" t="str">
        <f>MID(Table22[[#This Row],[تاريخ تاييد]],1,7)</f>
        <v>1403/06</v>
      </c>
      <c r="E84" s="11" t="str">
        <f>MID(Table22[[#This Row],[تاريخ تاييد]],6,2)</f>
        <v>06</v>
      </c>
      <c r="F84" s="11" t="s">
        <v>618</v>
      </c>
      <c r="G84" s="11" t="str">
        <f>VLOOKUP(Table22[[#This Row],[شماره فني]],Sheet7!A:C,3,0)</f>
        <v>جلو آمپر</v>
      </c>
      <c r="H84" s="11" t="str">
        <f>VLOOKUP(Table22[[#This Row],[شماره فني]],Sheet7!A:B,2,0)</f>
        <v>جلو آمپر207  معمولی85 گانه</v>
      </c>
      <c r="I84" s="11" t="s">
        <v>279</v>
      </c>
      <c r="J84" s="11" t="s">
        <v>233</v>
      </c>
      <c r="K84" s="11" t="s">
        <v>261</v>
      </c>
      <c r="L84" s="11" t="s">
        <v>261</v>
      </c>
      <c r="M84" s="11" t="s">
        <v>261</v>
      </c>
      <c r="N84" s="11" t="s">
        <v>261</v>
      </c>
      <c r="O84" s="11" t="s">
        <v>261</v>
      </c>
      <c r="P84" s="11" t="s">
        <v>261</v>
      </c>
      <c r="Q84" s="11" t="s">
        <v>224</v>
      </c>
      <c r="R84" s="11" t="s">
        <v>261</v>
      </c>
      <c r="S84" s="11" t="s">
        <v>803</v>
      </c>
      <c r="T84" s="11" t="s">
        <v>797</v>
      </c>
      <c r="U84" s="11" t="s">
        <v>561</v>
      </c>
      <c r="V84" s="11">
        <v>3</v>
      </c>
      <c r="W84" s="11" t="s">
        <v>30</v>
      </c>
      <c r="X84" s="11" t="s">
        <v>261</v>
      </c>
      <c r="Y84" s="11" t="s">
        <v>290</v>
      </c>
      <c r="Z84" s="11" t="s">
        <v>66</v>
      </c>
      <c r="AA84" s="11" t="s">
        <v>28</v>
      </c>
      <c r="AB84" s="11" t="s">
        <v>261</v>
      </c>
      <c r="AC84" s="11" t="s">
        <v>261</v>
      </c>
      <c r="AD84" s="11" t="s">
        <v>551</v>
      </c>
      <c r="AE84" s="12" t="s">
        <v>261</v>
      </c>
      <c r="AF84" s="11" t="s">
        <v>261</v>
      </c>
    </row>
    <row r="85" spans="1:32" ht="30" hidden="1" x14ac:dyDescent="0.25">
      <c r="A85" s="11">
        <v>1</v>
      </c>
      <c r="B85" s="11">
        <v>201209</v>
      </c>
      <c r="C85" s="11" t="s">
        <v>270</v>
      </c>
      <c r="D85" s="11" t="str">
        <f>MID(Table22[[#This Row],[تاريخ تاييد]],1,7)</f>
        <v>1403/06</v>
      </c>
      <c r="E85" s="11" t="str">
        <f>MID(Table22[[#This Row],[تاريخ تاييد]],6,2)</f>
        <v>06</v>
      </c>
      <c r="F85" s="11" t="s">
        <v>618</v>
      </c>
      <c r="G85" s="11" t="str">
        <f>VLOOKUP(Table22[[#This Row],[شماره فني]],Sheet7!A:C,3,0)</f>
        <v>جلو آمپر</v>
      </c>
      <c r="H85" s="11" t="str">
        <f>VLOOKUP(Table22[[#This Row],[شماره فني]],Sheet7!A:B,2,0)</f>
        <v>جلو آمپر دنا ST</v>
      </c>
      <c r="I85" s="11" t="s">
        <v>280</v>
      </c>
      <c r="J85" s="11" t="s">
        <v>723</v>
      </c>
      <c r="K85" s="11" t="s">
        <v>261</v>
      </c>
      <c r="L85" s="11" t="s">
        <v>261</v>
      </c>
      <c r="M85" s="11" t="s">
        <v>261</v>
      </c>
      <c r="N85" s="11" t="s">
        <v>261</v>
      </c>
      <c r="O85" s="11" t="s">
        <v>261</v>
      </c>
      <c r="P85" s="11" t="s">
        <v>261</v>
      </c>
      <c r="Q85" s="11" t="s">
        <v>257</v>
      </c>
      <c r="R85" s="11" t="s">
        <v>587</v>
      </c>
      <c r="S85" s="11" t="s">
        <v>805</v>
      </c>
      <c r="T85" s="11" t="s">
        <v>797</v>
      </c>
      <c r="U85" s="11" t="s">
        <v>561</v>
      </c>
      <c r="V85" s="11">
        <v>1</v>
      </c>
      <c r="W85" s="11" t="s">
        <v>96</v>
      </c>
      <c r="X85" s="11" t="s">
        <v>261</v>
      </c>
      <c r="Y85" s="11" t="s">
        <v>290</v>
      </c>
      <c r="Z85" s="11" t="s">
        <v>66</v>
      </c>
      <c r="AA85" s="11" t="s">
        <v>28</v>
      </c>
      <c r="AB85" s="11" t="s">
        <v>261</v>
      </c>
      <c r="AC85" s="11" t="s">
        <v>261</v>
      </c>
      <c r="AD85" s="11" t="s">
        <v>551</v>
      </c>
      <c r="AE85" s="12" t="s">
        <v>261</v>
      </c>
      <c r="AF85" s="11" t="s">
        <v>261</v>
      </c>
    </row>
    <row r="86" spans="1:32" ht="45" hidden="1" x14ac:dyDescent="0.25">
      <c r="A86" s="11">
        <v>1</v>
      </c>
      <c r="B86" s="11">
        <v>201216</v>
      </c>
      <c r="C86" s="11" t="s">
        <v>270</v>
      </c>
      <c r="D86" s="11" t="str">
        <f>MID(Table22[[#This Row],[تاريخ تاييد]],1,7)</f>
        <v>1403/06</v>
      </c>
      <c r="E86" s="11" t="str">
        <f>MID(Table22[[#This Row],[تاريخ تاييد]],6,2)</f>
        <v>06</v>
      </c>
      <c r="F86" s="11" t="s">
        <v>618</v>
      </c>
      <c r="G86" s="11" t="str">
        <f>VLOOKUP(Table22[[#This Row],[شماره فني]],Sheet7!A:C,3,0)</f>
        <v>جلو آمپر</v>
      </c>
      <c r="H86" s="11" t="str">
        <f>VLOOKUP(Table22[[#This Row],[شماره فني]],Sheet7!A:B,2,0)</f>
        <v>جلو آمپر207  معمولی85 گانه</v>
      </c>
      <c r="I86" s="11" t="s">
        <v>281</v>
      </c>
      <c r="J86" s="11" t="s">
        <v>233</v>
      </c>
      <c r="K86" s="11" t="s">
        <v>261</v>
      </c>
      <c r="L86" s="11" t="s">
        <v>261</v>
      </c>
      <c r="M86" s="11" t="s">
        <v>261</v>
      </c>
      <c r="N86" s="11" t="s">
        <v>261</v>
      </c>
      <c r="O86" s="11" t="s">
        <v>261</v>
      </c>
      <c r="P86" s="11" t="s">
        <v>261</v>
      </c>
      <c r="Q86" s="11" t="s">
        <v>961</v>
      </c>
      <c r="R86" s="11" t="s">
        <v>261</v>
      </c>
      <c r="S86" s="11" t="s">
        <v>261</v>
      </c>
      <c r="T86" s="11" t="s">
        <v>552</v>
      </c>
      <c r="U86" s="11" t="s">
        <v>784</v>
      </c>
      <c r="V86" s="11">
        <v>1</v>
      </c>
      <c r="W86" s="11" t="s">
        <v>30</v>
      </c>
      <c r="X86" s="11" t="s">
        <v>261</v>
      </c>
      <c r="Y86" s="11" t="s">
        <v>261</v>
      </c>
      <c r="Z86" s="11" t="s">
        <v>261</v>
      </c>
      <c r="AA86" s="11" t="s">
        <v>583</v>
      </c>
      <c r="AB86" s="11" t="s">
        <v>261</v>
      </c>
      <c r="AC86" s="11" t="s">
        <v>261</v>
      </c>
      <c r="AD86" s="11" t="s">
        <v>551</v>
      </c>
      <c r="AE86" s="12" t="s">
        <v>261</v>
      </c>
      <c r="AF86" s="11" t="s">
        <v>261</v>
      </c>
    </row>
    <row r="87" spans="1:32" ht="30" hidden="1" x14ac:dyDescent="0.25">
      <c r="A87" s="11">
        <v>1</v>
      </c>
      <c r="B87" s="11">
        <v>201369</v>
      </c>
      <c r="C87" s="11" t="s">
        <v>269</v>
      </c>
      <c r="D87" s="11" t="str">
        <f>MID(Table22[[#This Row],[تاريخ تاييد]],1,7)</f>
        <v>1403/06</v>
      </c>
      <c r="E87" s="11" t="str">
        <f>MID(Table22[[#This Row],[تاريخ تاييد]],6,2)</f>
        <v>06</v>
      </c>
      <c r="F87" s="11" t="s">
        <v>618</v>
      </c>
      <c r="G87" s="11" t="str">
        <f>VLOOKUP(Table22[[#This Row],[شماره فني]],Sheet7!A:C,3,0)</f>
        <v>NOD</v>
      </c>
      <c r="H87" s="11" t="str">
        <f>VLOOKUP(Table22[[#This Row],[شماره فني]],Sheet7!A:B,2,0)</f>
        <v>NBCM 207</v>
      </c>
      <c r="I87" s="11" t="s">
        <v>282</v>
      </c>
      <c r="J87" s="11" t="s">
        <v>230</v>
      </c>
      <c r="K87" s="11" t="s">
        <v>261</v>
      </c>
      <c r="L87" s="11" t="s">
        <v>261</v>
      </c>
      <c r="M87" s="11" t="s">
        <v>261</v>
      </c>
      <c r="N87" s="11" t="s">
        <v>261</v>
      </c>
      <c r="O87" s="11" t="s">
        <v>261</v>
      </c>
      <c r="P87" s="11" t="s">
        <v>261</v>
      </c>
      <c r="Q87" s="11" t="s">
        <v>230</v>
      </c>
      <c r="R87" s="11" t="s">
        <v>391</v>
      </c>
      <c r="S87" s="11" t="s">
        <v>527</v>
      </c>
      <c r="T87" s="11" t="s">
        <v>230</v>
      </c>
      <c r="U87" s="11" t="s">
        <v>561</v>
      </c>
      <c r="V87" s="11">
        <v>1</v>
      </c>
      <c r="W87" s="11" t="s">
        <v>19</v>
      </c>
      <c r="X87" s="11" t="s">
        <v>261</v>
      </c>
      <c r="Y87" s="11" t="s">
        <v>290</v>
      </c>
      <c r="Z87" s="11" t="s">
        <v>66</v>
      </c>
      <c r="AA87" s="11" t="s">
        <v>28</v>
      </c>
      <c r="AB87" s="11" t="s">
        <v>261</v>
      </c>
      <c r="AC87" s="11" t="s">
        <v>261</v>
      </c>
      <c r="AD87" s="11" t="s">
        <v>551</v>
      </c>
      <c r="AE87" s="12" t="s">
        <v>261</v>
      </c>
      <c r="AF87" s="11" t="s">
        <v>348</v>
      </c>
    </row>
    <row r="88" spans="1:32" ht="45" hidden="1" x14ac:dyDescent="0.25">
      <c r="A88" s="11">
        <v>1</v>
      </c>
      <c r="B88" s="11">
        <v>201405</v>
      </c>
      <c r="C88" s="11" t="s">
        <v>271</v>
      </c>
      <c r="D88" s="11" t="str">
        <f>MID(Table22[[#This Row],[تاريخ تاييد]],1,7)</f>
        <v>1403/06</v>
      </c>
      <c r="E88" s="11" t="str">
        <f>MID(Table22[[#This Row],[تاريخ تاييد]],6,2)</f>
        <v>06</v>
      </c>
      <c r="F88" s="11" t="s">
        <v>618</v>
      </c>
      <c r="G88" s="11" t="str">
        <f>VLOOKUP(Table22[[#This Row],[شماره فني]],Sheet7!A:C,3,0)</f>
        <v>NOD</v>
      </c>
      <c r="H88" s="11" t="str">
        <f>VLOOKUP(Table22[[#This Row],[شماره فني]],Sheet7!A:B,2,0)</f>
        <v>NBCM SOREN</v>
      </c>
      <c r="I88" s="11" t="s">
        <v>283</v>
      </c>
      <c r="J88" s="11" t="s">
        <v>289</v>
      </c>
      <c r="K88" s="11" t="s">
        <v>261</v>
      </c>
      <c r="L88" s="11" t="s">
        <v>261</v>
      </c>
      <c r="M88" s="11" t="s">
        <v>261</v>
      </c>
      <c r="N88" s="11" t="s">
        <v>261</v>
      </c>
      <c r="O88" s="11" t="s">
        <v>261</v>
      </c>
      <c r="P88" s="11" t="s">
        <v>261</v>
      </c>
      <c r="Q88" s="11" t="s">
        <v>961</v>
      </c>
      <c r="R88" s="11" t="s">
        <v>261</v>
      </c>
      <c r="S88" s="11" t="s">
        <v>261</v>
      </c>
      <c r="T88" s="11" t="s">
        <v>552</v>
      </c>
      <c r="U88" s="11" t="s">
        <v>784</v>
      </c>
      <c r="V88" s="11">
        <v>4</v>
      </c>
      <c r="W88" s="11" t="s">
        <v>288</v>
      </c>
      <c r="X88" s="11" t="s">
        <v>261</v>
      </c>
      <c r="Y88" s="11" t="s">
        <v>261</v>
      </c>
      <c r="Z88" s="11" t="s">
        <v>261</v>
      </c>
      <c r="AA88" s="11" t="s">
        <v>583</v>
      </c>
      <c r="AB88" s="11" t="s">
        <v>261</v>
      </c>
      <c r="AC88" s="11" t="s">
        <v>261</v>
      </c>
      <c r="AD88" s="11" t="s">
        <v>551</v>
      </c>
      <c r="AE88" s="12" t="s">
        <v>261</v>
      </c>
      <c r="AF88" s="11" t="s">
        <v>261</v>
      </c>
    </row>
    <row r="89" spans="1:32" ht="30" hidden="1" x14ac:dyDescent="0.25">
      <c r="A89" s="11">
        <v>1</v>
      </c>
      <c r="B89" s="11">
        <v>201572</v>
      </c>
      <c r="C89" s="11" t="s">
        <v>271</v>
      </c>
      <c r="D89" s="11" t="str">
        <f>MID(Table22[[#This Row],[تاريخ تاييد]],1,7)</f>
        <v>1403/06</v>
      </c>
      <c r="E89" s="11" t="str">
        <f>MID(Table22[[#This Row],[تاريخ تاييد]],6,2)</f>
        <v>06</v>
      </c>
      <c r="F89" s="11" t="s">
        <v>618</v>
      </c>
      <c r="G89" s="11" t="str">
        <f>VLOOKUP(Table22[[#This Row],[شماره فني]],Sheet7!A:C,3,0)</f>
        <v>NOD</v>
      </c>
      <c r="H89" s="11" t="str">
        <f>VLOOKUP(Table22[[#This Row],[شماره فني]],Sheet7!A:B,2,0)</f>
        <v>NBCM 207</v>
      </c>
      <c r="I89" s="11" t="s">
        <v>284</v>
      </c>
      <c r="J89" s="11" t="s">
        <v>1081</v>
      </c>
      <c r="K89" s="11" t="s">
        <v>22</v>
      </c>
      <c r="L89" s="11" t="s">
        <v>290</v>
      </c>
      <c r="M89" s="11" t="s">
        <v>261</v>
      </c>
      <c r="N89" s="11" t="s">
        <v>261</v>
      </c>
      <c r="O89" s="11" t="s">
        <v>261</v>
      </c>
      <c r="P89" s="11" t="s">
        <v>261</v>
      </c>
      <c r="Q89" s="11" t="s">
        <v>291</v>
      </c>
      <c r="R89" s="11" t="s">
        <v>258</v>
      </c>
      <c r="S89" s="11" t="s">
        <v>817</v>
      </c>
      <c r="T89" s="11" t="s">
        <v>824</v>
      </c>
      <c r="U89" s="11" t="s">
        <v>565</v>
      </c>
      <c r="V89" s="11">
        <v>1</v>
      </c>
      <c r="W89" s="11" t="s">
        <v>19</v>
      </c>
      <c r="X89" s="11" t="s">
        <v>261</v>
      </c>
      <c r="Y89" s="11" t="s">
        <v>290</v>
      </c>
      <c r="Z89" s="11" t="s">
        <v>66</v>
      </c>
      <c r="AA89" s="11" t="s">
        <v>27</v>
      </c>
      <c r="AB89" s="11" t="s">
        <v>986</v>
      </c>
      <c r="AC89" s="11" t="s">
        <v>261</v>
      </c>
      <c r="AD89" s="11" t="s">
        <v>551</v>
      </c>
      <c r="AE89" s="12" t="s">
        <v>261</v>
      </c>
      <c r="AF89" s="11" t="s">
        <v>261</v>
      </c>
    </row>
    <row r="90" spans="1:32" ht="45" hidden="1" x14ac:dyDescent="0.25">
      <c r="A90" s="11">
        <v>1</v>
      </c>
      <c r="B90" s="11">
        <v>201585</v>
      </c>
      <c r="C90" s="11" t="s">
        <v>271</v>
      </c>
      <c r="D90" s="11" t="str">
        <f>MID(Table22[[#This Row],[تاريخ تاييد]],1,7)</f>
        <v>1403/06</v>
      </c>
      <c r="E90" s="11" t="str">
        <f>MID(Table22[[#This Row],[تاريخ تاييد]],6,2)</f>
        <v>06</v>
      </c>
      <c r="F90" s="11" t="s">
        <v>618</v>
      </c>
      <c r="G90" s="11" t="str">
        <f>VLOOKUP(Table22[[#This Row],[شماره فني]],Sheet7!A:C,3,0)</f>
        <v>NOD</v>
      </c>
      <c r="H90" s="11" t="str">
        <f>VLOOKUP(Table22[[#This Row],[شماره فني]],Sheet7!A:B,2,0)</f>
        <v>NBCM TARA</v>
      </c>
      <c r="I90" s="11" t="s">
        <v>285</v>
      </c>
      <c r="J90" s="11" t="s">
        <v>336</v>
      </c>
      <c r="K90" s="11" t="s">
        <v>261</v>
      </c>
      <c r="L90" s="11" t="s">
        <v>261</v>
      </c>
      <c r="M90" s="11" t="s">
        <v>261</v>
      </c>
      <c r="N90" s="11" t="s">
        <v>261</v>
      </c>
      <c r="O90" s="11" t="s">
        <v>261</v>
      </c>
      <c r="P90" s="11" t="s">
        <v>261</v>
      </c>
      <c r="Q90" s="11" t="s">
        <v>961</v>
      </c>
      <c r="R90" s="11" t="s">
        <v>261</v>
      </c>
      <c r="S90" s="11" t="s">
        <v>261</v>
      </c>
      <c r="T90" s="11" t="s">
        <v>552</v>
      </c>
      <c r="U90" s="11" t="s">
        <v>784</v>
      </c>
      <c r="V90" s="11">
        <v>1</v>
      </c>
      <c r="W90" s="11" t="s">
        <v>15</v>
      </c>
      <c r="X90" s="11" t="s">
        <v>261</v>
      </c>
      <c r="Y90" s="11" t="s">
        <v>261</v>
      </c>
      <c r="Z90" s="11" t="s">
        <v>261</v>
      </c>
      <c r="AA90" s="11" t="s">
        <v>583</v>
      </c>
      <c r="AB90" s="11" t="s">
        <v>261</v>
      </c>
      <c r="AC90" s="11" t="s">
        <v>261</v>
      </c>
      <c r="AD90" s="11" t="s">
        <v>551</v>
      </c>
      <c r="AE90" s="12" t="s">
        <v>261</v>
      </c>
      <c r="AF90" s="11" t="s">
        <v>261</v>
      </c>
    </row>
    <row r="91" spans="1:32" ht="30" hidden="1" x14ac:dyDescent="0.25">
      <c r="A91" s="11">
        <v>1</v>
      </c>
      <c r="B91" s="11">
        <v>201627</v>
      </c>
      <c r="C91" s="11" t="s">
        <v>272</v>
      </c>
      <c r="D91" s="11" t="str">
        <f>MID(Table22[[#This Row],[تاريخ تاييد]],1,7)</f>
        <v>1403/06</v>
      </c>
      <c r="E91" s="11" t="str">
        <f>MID(Table22[[#This Row],[تاريخ تاييد]],6,2)</f>
        <v>06</v>
      </c>
      <c r="F91" s="11" t="s">
        <v>618</v>
      </c>
      <c r="G91" s="11" t="str">
        <f>VLOOKUP(Table22[[#This Row],[شماره فني]],Sheet7!A:C,3,0)</f>
        <v>NOD</v>
      </c>
      <c r="H91" s="11" t="str">
        <f>VLOOKUP(Table22[[#This Row],[شماره فني]],Sheet7!A:B,2,0)</f>
        <v>NBCM TARA SAL</v>
      </c>
      <c r="I91" s="11" t="s">
        <v>286</v>
      </c>
      <c r="J91" s="11" t="s">
        <v>730</v>
      </c>
      <c r="K91" s="11" t="s">
        <v>22</v>
      </c>
      <c r="L91" s="11" t="s">
        <v>345</v>
      </c>
      <c r="M91" s="11" t="s">
        <v>261</v>
      </c>
      <c r="N91" s="11" t="s">
        <v>261</v>
      </c>
      <c r="O91" s="11" t="s">
        <v>261</v>
      </c>
      <c r="P91" s="11" t="s">
        <v>261</v>
      </c>
      <c r="Q91" s="11" t="s">
        <v>349</v>
      </c>
      <c r="R91" s="11" t="s">
        <v>261</v>
      </c>
      <c r="S91" s="11" t="s">
        <v>799</v>
      </c>
      <c r="T91" s="11" t="s">
        <v>797</v>
      </c>
      <c r="U91" s="11" t="s">
        <v>561</v>
      </c>
      <c r="V91" s="11">
        <v>1</v>
      </c>
      <c r="W91" s="11" t="s">
        <v>95</v>
      </c>
      <c r="X91" s="11" t="s">
        <v>261</v>
      </c>
      <c r="Y91" s="11" t="s">
        <v>337</v>
      </c>
      <c r="Z91" s="11" t="s">
        <v>66</v>
      </c>
      <c r="AA91" s="11" t="s">
        <v>28</v>
      </c>
      <c r="AB91" s="11" t="s">
        <v>261</v>
      </c>
      <c r="AC91" s="11" t="s">
        <v>261</v>
      </c>
      <c r="AD91" s="11" t="s">
        <v>551</v>
      </c>
      <c r="AE91" s="12" t="s">
        <v>261</v>
      </c>
      <c r="AF91" s="11" t="s">
        <v>261</v>
      </c>
    </row>
    <row r="92" spans="1:32" ht="30" hidden="1" x14ac:dyDescent="0.25">
      <c r="A92" s="11">
        <v>1</v>
      </c>
      <c r="B92" s="11">
        <v>201705</v>
      </c>
      <c r="C92" s="11" t="s">
        <v>293</v>
      </c>
      <c r="D92" s="11" t="str">
        <f>MID(Table22[[#This Row],[تاريخ تاييد]],1,7)</f>
        <v>1403/06</v>
      </c>
      <c r="E92" s="11" t="str">
        <f>MID(Table22[[#This Row],[تاريخ تاييد]],6,2)</f>
        <v>06</v>
      </c>
      <c r="F92" s="11" t="s">
        <v>618</v>
      </c>
      <c r="G92" s="11" t="str">
        <f>VLOOKUP(Table22[[#This Row],[شماره فني]],Sheet7!A:C,3,0)</f>
        <v>جلو آمپر</v>
      </c>
      <c r="H92" s="11" t="str">
        <f>VLOOKUP(Table22[[#This Row],[شماره فني]],Sheet7!A:B,2,0)</f>
        <v>جلو آمپرSOREN TC 85 گانه</v>
      </c>
      <c r="I92" s="11" t="s">
        <v>298</v>
      </c>
      <c r="J92" s="11" t="s">
        <v>233</v>
      </c>
      <c r="K92" s="11" t="s">
        <v>22</v>
      </c>
      <c r="L92" s="11" t="s">
        <v>337</v>
      </c>
      <c r="M92" s="11" t="s">
        <v>261</v>
      </c>
      <c r="N92" s="11" t="s">
        <v>261</v>
      </c>
      <c r="O92" s="11" t="s">
        <v>261</v>
      </c>
      <c r="P92" s="11" t="s">
        <v>261</v>
      </c>
      <c r="Q92" s="11" t="s">
        <v>352</v>
      </c>
      <c r="R92" s="11" t="s">
        <v>261</v>
      </c>
      <c r="S92" s="11" t="s">
        <v>978</v>
      </c>
      <c r="T92" s="11" t="s">
        <v>351</v>
      </c>
      <c r="U92" s="11" t="s">
        <v>561</v>
      </c>
      <c r="V92" s="11">
        <v>1</v>
      </c>
      <c r="W92" s="11" t="s">
        <v>32</v>
      </c>
      <c r="X92" s="11" t="s">
        <v>261</v>
      </c>
      <c r="Y92" s="11" t="s">
        <v>337</v>
      </c>
      <c r="Z92" s="11" t="s">
        <v>66</v>
      </c>
      <c r="AA92" s="11" t="s">
        <v>28</v>
      </c>
      <c r="AB92" s="11" t="s">
        <v>261</v>
      </c>
      <c r="AC92" s="11" t="s">
        <v>261</v>
      </c>
      <c r="AD92" s="11" t="s">
        <v>551</v>
      </c>
      <c r="AE92" s="12" t="s">
        <v>261</v>
      </c>
      <c r="AF92" s="11" t="s">
        <v>348</v>
      </c>
    </row>
    <row r="93" spans="1:32" ht="30" hidden="1" x14ac:dyDescent="0.25">
      <c r="A93" s="11">
        <v>1</v>
      </c>
      <c r="B93" s="11">
        <v>201761</v>
      </c>
      <c r="C93" s="11" t="s">
        <v>294</v>
      </c>
      <c r="D93" s="11" t="str">
        <f>MID(Table22[[#This Row],[تاريخ تاييد]],1,7)</f>
        <v>1403/06</v>
      </c>
      <c r="E93" s="11" t="str">
        <f>MID(Table22[[#This Row],[تاريخ تاييد]],6,2)</f>
        <v>06</v>
      </c>
      <c r="F93" s="11" t="s">
        <v>618</v>
      </c>
      <c r="G93" s="11" t="str">
        <f>VLOOKUP(Table22[[#This Row],[شماره فني]],Sheet7!A:C,3,0)</f>
        <v>جلو آمپر</v>
      </c>
      <c r="H93" s="11" t="str">
        <f>VLOOKUP(Table22[[#This Row],[شماره فني]],Sheet7!A:B,2,0)</f>
        <v>جلو آمپر207 اتوماتیک85 گانه</v>
      </c>
      <c r="I93" s="11" t="s">
        <v>299</v>
      </c>
      <c r="J93" s="11" t="s">
        <v>233</v>
      </c>
      <c r="K93" s="11" t="s">
        <v>22</v>
      </c>
      <c r="L93" s="11" t="s">
        <v>337</v>
      </c>
      <c r="M93" s="11" t="s">
        <v>261</v>
      </c>
      <c r="N93" s="11" t="s">
        <v>261</v>
      </c>
      <c r="O93" s="11" t="s">
        <v>261</v>
      </c>
      <c r="P93" s="11" t="s">
        <v>261</v>
      </c>
      <c r="Q93" s="11" t="s">
        <v>340</v>
      </c>
      <c r="R93" s="11" t="s">
        <v>261</v>
      </c>
      <c r="S93" s="11" t="s">
        <v>803</v>
      </c>
      <c r="T93" s="11" t="s">
        <v>797</v>
      </c>
      <c r="U93" s="11" t="s">
        <v>561</v>
      </c>
      <c r="V93" s="11">
        <v>1</v>
      </c>
      <c r="W93" s="11" t="s">
        <v>31</v>
      </c>
      <c r="X93" s="11" t="s">
        <v>261</v>
      </c>
      <c r="Y93" s="11" t="s">
        <v>337</v>
      </c>
      <c r="Z93" s="11" t="s">
        <v>66</v>
      </c>
      <c r="AA93" s="11" t="s">
        <v>28</v>
      </c>
      <c r="AB93" s="11" t="s">
        <v>261</v>
      </c>
      <c r="AC93" s="11" t="s">
        <v>261</v>
      </c>
      <c r="AD93" s="11" t="s">
        <v>551</v>
      </c>
      <c r="AE93" s="12" t="s">
        <v>261</v>
      </c>
      <c r="AF93" s="11" t="s">
        <v>261</v>
      </c>
    </row>
    <row r="94" spans="1:32" ht="30" hidden="1" x14ac:dyDescent="0.25">
      <c r="A94" s="11">
        <v>1</v>
      </c>
      <c r="B94" s="11">
        <v>201762</v>
      </c>
      <c r="C94" s="11" t="s">
        <v>294</v>
      </c>
      <c r="D94" s="11" t="str">
        <f>MID(Table22[[#This Row],[تاريخ تاييد]],1,7)</f>
        <v>1403/06</v>
      </c>
      <c r="E94" s="11" t="str">
        <f>MID(Table22[[#This Row],[تاريخ تاييد]],6,2)</f>
        <v>06</v>
      </c>
      <c r="F94" s="11" t="s">
        <v>618</v>
      </c>
      <c r="G94" s="11" t="str">
        <f>VLOOKUP(Table22[[#This Row],[شماره فني]],Sheet7!A:C,3,0)</f>
        <v>جلو آمپر</v>
      </c>
      <c r="H94" s="11" t="str">
        <f>VLOOKUP(Table22[[#This Row],[شماره فني]],Sheet7!A:B,2,0)</f>
        <v>جلو آمپر207  معمولی85 گانه</v>
      </c>
      <c r="I94" s="11" t="s">
        <v>300</v>
      </c>
      <c r="J94" s="11" t="s">
        <v>231</v>
      </c>
      <c r="K94" s="11" t="s">
        <v>22</v>
      </c>
      <c r="L94" s="11" t="s">
        <v>337</v>
      </c>
      <c r="M94" s="11" t="s">
        <v>261</v>
      </c>
      <c r="N94" s="11" t="s">
        <v>261</v>
      </c>
      <c r="O94" s="11" t="s">
        <v>261</v>
      </c>
      <c r="P94" s="11" t="s">
        <v>261</v>
      </c>
      <c r="Q94" s="11" t="s">
        <v>338</v>
      </c>
      <c r="R94" s="11" t="s">
        <v>339</v>
      </c>
      <c r="S94" s="11" t="s">
        <v>231</v>
      </c>
      <c r="T94" s="11" t="s">
        <v>797</v>
      </c>
      <c r="U94" s="11" t="s">
        <v>564</v>
      </c>
      <c r="V94" s="11">
        <v>1</v>
      </c>
      <c r="W94" s="11" t="s">
        <v>30</v>
      </c>
      <c r="X94" s="11" t="s">
        <v>261</v>
      </c>
      <c r="Y94" s="11" t="s">
        <v>337</v>
      </c>
      <c r="Z94" s="11" t="s">
        <v>66</v>
      </c>
      <c r="AA94" s="11" t="s">
        <v>29</v>
      </c>
      <c r="AB94" s="11" t="s">
        <v>261</v>
      </c>
      <c r="AC94" s="11" t="s">
        <v>261</v>
      </c>
      <c r="AD94" s="11" t="s">
        <v>551</v>
      </c>
      <c r="AE94" s="12" t="s">
        <v>261</v>
      </c>
      <c r="AF94" s="11" t="s">
        <v>261</v>
      </c>
    </row>
    <row r="95" spans="1:32" ht="30" hidden="1" x14ac:dyDescent="0.25">
      <c r="A95" s="11">
        <v>1</v>
      </c>
      <c r="B95" s="11">
        <v>201764</v>
      </c>
      <c r="C95" s="11" t="s">
        <v>294</v>
      </c>
      <c r="D95" s="11" t="str">
        <f>MID(Table22[[#This Row],[تاريخ تاييد]],1,7)</f>
        <v>1403/06</v>
      </c>
      <c r="E95" s="11" t="str">
        <f>MID(Table22[[#This Row],[تاريخ تاييد]],6,2)</f>
        <v>06</v>
      </c>
      <c r="F95" s="11" t="s">
        <v>618</v>
      </c>
      <c r="G95" s="11" t="str">
        <f>VLOOKUP(Table22[[#This Row],[شماره فني]],Sheet7!A:C,3,0)</f>
        <v>جلو آمپر</v>
      </c>
      <c r="H95" s="11" t="str">
        <f>VLOOKUP(Table22[[#This Row],[شماره فني]],Sheet7!A:B,2,0)</f>
        <v>جلو آمپر دنا ST</v>
      </c>
      <c r="I95" s="11" t="s">
        <v>300</v>
      </c>
      <c r="J95" s="11" t="s">
        <v>231</v>
      </c>
      <c r="K95" s="11" t="s">
        <v>22</v>
      </c>
      <c r="L95" s="11" t="s">
        <v>337</v>
      </c>
      <c r="M95" s="11" t="s">
        <v>261</v>
      </c>
      <c r="N95" s="11" t="s">
        <v>261</v>
      </c>
      <c r="O95" s="11" t="s">
        <v>261</v>
      </c>
      <c r="P95" s="11" t="s">
        <v>261</v>
      </c>
      <c r="Q95" s="11" t="s">
        <v>342</v>
      </c>
      <c r="R95" s="11" t="s">
        <v>343</v>
      </c>
      <c r="S95" s="11" t="s">
        <v>817</v>
      </c>
      <c r="T95" s="11" t="s">
        <v>809</v>
      </c>
      <c r="U95" s="11" t="s">
        <v>564</v>
      </c>
      <c r="V95" s="11">
        <v>1</v>
      </c>
      <c r="W95" s="11" t="s">
        <v>96</v>
      </c>
      <c r="X95" s="11" t="s">
        <v>261</v>
      </c>
      <c r="Y95" s="11" t="s">
        <v>337</v>
      </c>
      <c r="Z95" s="11" t="s">
        <v>66</v>
      </c>
      <c r="AA95" s="11" t="s">
        <v>29</v>
      </c>
      <c r="AB95" s="11" t="s">
        <v>261</v>
      </c>
      <c r="AC95" s="11" t="s">
        <v>261</v>
      </c>
      <c r="AD95" s="11" t="s">
        <v>551</v>
      </c>
      <c r="AE95" s="12" t="s">
        <v>261</v>
      </c>
      <c r="AF95" s="11" t="s">
        <v>261</v>
      </c>
    </row>
    <row r="96" spans="1:32" ht="30" hidden="1" x14ac:dyDescent="0.25">
      <c r="A96" s="11">
        <v>1</v>
      </c>
      <c r="B96" s="11">
        <v>201904</v>
      </c>
      <c r="C96" s="11" t="s">
        <v>295</v>
      </c>
      <c r="D96" s="11" t="str">
        <f>MID(Table22[[#This Row],[تاريخ تاييد]],1,7)</f>
        <v>1403/07</v>
      </c>
      <c r="E96" s="11" t="str">
        <f>MID(Table22[[#This Row],[تاريخ تاييد]],6,2)</f>
        <v>07</v>
      </c>
      <c r="F96" s="11" t="s">
        <v>618</v>
      </c>
      <c r="G96" s="11" t="str">
        <f>VLOOKUP(Table22[[#This Row],[شماره فني]],Sheet7!A:C,3,0)</f>
        <v>NOD</v>
      </c>
      <c r="H96" s="11" t="str">
        <f>VLOOKUP(Table22[[#This Row],[شماره فني]],Sheet7!A:B,2,0)</f>
        <v>NBCM TARA SAL</v>
      </c>
      <c r="I96" s="11" t="s">
        <v>301</v>
      </c>
      <c r="J96" s="11" t="s">
        <v>334</v>
      </c>
      <c r="K96" s="11" t="s">
        <v>22</v>
      </c>
      <c r="L96" s="11" t="s">
        <v>345</v>
      </c>
      <c r="M96" s="11" t="s">
        <v>261</v>
      </c>
      <c r="N96" s="11" t="s">
        <v>261</v>
      </c>
      <c r="O96" s="11" t="s">
        <v>261</v>
      </c>
      <c r="P96" s="11" t="s">
        <v>261</v>
      </c>
      <c r="Q96" s="11" t="s">
        <v>346</v>
      </c>
      <c r="R96" s="11" t="s">
        <v>77</v>
      </c>
      <c r="S96" s="11" t="s">
        <v>817</v>
      </c>
      <c r="T96" s="11" t="s">
        <v>824</v>
      </c>
      <c r="U96" s="11" t="s">
        <v>565</v>
      </c>
      <c r="V96" s="11">
        <v>1</v>
      </c>
      <c r="W96" s="11" t="s">
        <v>95</v>
      </c>
      <c r="X96" s="11" t="s">
        <v>261</v>
      </c>
      <c r="Y96" s="11" t="s">
        <v>337</v>
      </c>
      <c r="Z96" s="11" t="s">
        <v>66</v>
      </c>
      <c r="AA96" s="11" t="s">
        <v>27</v>
      </c>
      <c r="AB96" s="11" t="s">
        <v>986</v>
      </c>
      <c r="AC96" s="11" t="s">
        <v>261</v>
      </c>
      <c r="AD96" s="11" t="s">
        <v>551</v>
      </c>
      <c r="AE96" s="12" t="s">
        <v>261</v>
      </c>
      <c r="AF96" s="11" t="s">
        <v>348</v>
      </c>
    </row>
    <row r="97" spans="1:32" ht="78.75" hidden="1" customHeight="1" x14ac:dyDescent="0.25">
      <c r="A97" s="11">
        <v>1</v>
      </c>
      <c r="B97" s="11">
        <v>201985</v>
      </c>
      <c r="C97" s="11" t="s">
        <v>296</v>
      </c>
      <c r="D97" s="11" t="str">
        <f>MID(Table22[[#This Row],[تاريخ تاييد]],1,7)</f>
        <v>1403/07</v>
      </c>
      <c r="E97" s="11" t="str">
        <f>MID(Table22[[#This Row],[تاريخ تاييد]],6,2)</f>
        <v>07</v>
      </c>
      <c r="F97" s="11" t="s">
        <v>618</v>
      </c>
      <c r="G97" s="11" t="str">
        <f>VLOOKUP(Table22[[#This Row],[شماره فني]],Sheet7!A:C,3,0)</f>
        <v>جلو آمپر</v>
      </c>
      <c r="H97" s="11" t="str">
        <f>VLOOKUP(Table22[[#This Row],[شماره فني]],Sheet7!A:B,2,0)</f>
        <v>جلو آمپر دنا اتوماتیک</v>
      </c>
      <c r="I97" s="11" t="s">
        <v>302</v>
      </c>
      <c r="J97" s="11" t="s">
        <v>334</v>
      </c>
      <c r="K97" s="11" t="s">
        <v>22</v>
      </c>
      <c r="L97" s="11" t="s">
        <v>337</v>
      </c>
      <c r="M97" s="11" t="s">
        <v>261</v>
      </c>
      <c r="N97" s="11" t="s">
        <v>261</v>
      </c>
      <c r="O97" s="11" t="s">
        <v>261</v>
      </c>
      <c r="P97" s="11" t="s">
        <v>261</v>
      </c>
      <c r="Q97" s="11" t="s">
        <v>344</v>
      </c>
      <c r="R97" s="11" t="s">
        <v>814</v>
      </c>
      <c r="S97" s="11" t="s">
        <v>983</v>
      </c>
      <c r="T97" s="11" t="s">
        <v>813</v>
      </c>
      <c r="U97" s="11" t="s">
        <v>571</v>
      </c>
      <c r="V97" s="11">
        <v>1</v>
      </c>
      <c r="W97" s="11" t="s">
        <v>21</v>
      </c>
      <c r="X97" s="11" t="s">
        <v>261</v>
      </c>
      <c r="Y97" s="11" t="s">
        <v>337</v>
      </c>
      <c r="Z97" s="11" t="s">
        <v>66</v>
      </c>
      <c r="AA97" s="11" t="s">
        <v>26</v>
      </c>
      <c r="AB97" s="11" t="s">
        <v>261</v>
      </c>
      <c r="AC97" s="11" t="s">
        <v>583</v>
      </c>
      <c r="AD97" s="11" t="s">
        <v>551</v>
      </c>
      <c r="AE97" s="12" t="s">
        <v>261</v>
      </c>
      <c r="AF97" s="11" t="s">
        <v>348</v>
      </c>
    </row>
    <row r="98" spans="1:32" ht="55.5" hidden="1" customHeight="1" x14ac:dyDescent="0.25">
      <c r="A98" s="11">
        <v>1</v>
      </c>
      <c r="B98" s="11">
        <v>201986</v>
      </c>
      <c r="C98" s="11" t="s">
        <v>296</v>
      </c>
      <c r="D98" s="11" t="str">
        <f>MID(Table22[[#This Row],[تاريخ تاييد]],1,7)</f>
        <v>1403/07</v>
      </c>
      <c r="E98" s="11" t="str">
        <f>MID(Table22[[#This Row],[تاريخ تاييد]],6,2)</f>
        <v>07</v>
      </c>
      <c r="F98" s="11" t="s">
        <v>618</v>
      </c>
      <c r="G98" s="11" t="str">
        <f>VLOOKUP(Table22[[#This Row],[شماره فني]],Sheet7!A:C,3,0)</f>
        <v>جلو آمپر</v>
      </c>
      <c r="H98" s="11" t="str">
        <f>VLOOKUP(Table22[[#This Row],[شماره فني]],Sheet7!A:B,2,0)</f>
        <v>جلو آمپر تارا اتوماتیک</v>
      </c>
      <c r="I98" s="11" t="s">
        <v>303</v>
      </c>
      <c r="J98" s="11" t="s">
        <v>231</v>
      </c>
      <c r="K98" s="11" t="s">
        <v>22</v>
      </c>
      <c r="L98" s="11" t="s">
        <v>337</v>
      </c>
      <c r="M98" s="11" t="s">
        <v>261</v>
      </c>
      <c r="N98" s="11" t="s">
        <v>261</v>
      </c>
      <c r="O98" s="11" t="s">
        <v>261</v>
      </c>
      <c r="P98" s="11" t="s">
        <v>261</v>
      </c>
      <c r="Q98" s="11" t="s">
        <v>341</v>
      </c>
      <c r="R98" s="11" t="s">
        <v>159</v>
      </c>
      <c r="S98" s="11" t="s">
        <v>231</v>
      </c>
      <c r="T98" s="11" t="s">
        <v>797</v>
      </c>
      <c r="U98" s="11" t="s">
        <v>561</v>
      </c>
      <c r="V98" s="11">
        <v>1</v>
      </c>
      <c r="W98" s="11" t="s">
        <v>20</v>
      </c>
      <c r="X98" s="11" t="s">
        <v>261</v>
      </c>
      <c r="Y98" s="11" t="s">
        <v>337</v>
      </c>
      <c r="Z98" s="11" t="s">
        <v>66</v>
      </c>
      <c r="AA98" s="11" t="s">
        <v>28</v>
      </c>
      <c r="AB98" s="11" t="s">
        <v>261</v>
      </c>
      <c r="AC98" s="11" t="s">
        <v>261</v>
      </c>
      <c r="AD98" s="11" t="s">
        <v>551</v>
      </c>
      <c r="AE98" s="12" t="s">
        <v>261</v>
      </c>
      <c r="AF98" s="11" t="s">
        <v>261</v>
      </c>
    </row>
    <row r="99" spans="1:32" ht="45" hidden="1" x14ac:dyDescent="0.25">
      <c r="A99" s="11">
        <v>1</v>
      </c>
      <c r="B99" s="11">
        <v>202103</v>
      </c>
      <c r="C99" s="11" t="s">
        <v>297</v>
      </c>
      <c r="D99" s="11" t="str">
        <f>MID(Table22[[#This Row],[تاريخ تاييد]],1,7)</f>
        <v>1403/07</v>
      </c>
      <c r="E99" s="11" t="str">
        <f>MID(Table22[[#This Row],[تاريخ تاييد]],6,2)</f>
        <v>07</v>
      </c>
      <c r="F99" s="11" t="s">
        <v>618</v>
      </c>
      <c r="G99" s="11" t="str">
        <f>VLOOKUP(Table22[[#This Row],[شماره فني]],Sheet7!A:C,3,0)</f>
        <v>NOD</v>
      </c>
      <c r="H99" s="11" t="str">
        <f>VLOOKUP(Table22[[#This Row],[شماره فني]],Sheet7!A:B,2,0)</f>
        <v>NBCM TARA SAL</v>
      </c>
      <c r="I99" s="11" t="s">
        <v>304</v>
      </c>
      <c r="J99" s="11" t="s">
        <v>336</v>
      </c>
      <c r="K99" s="11" t="s">
        <v>261</v>
      </c>
      <c r="L99" s="11" t="s">
        <v>261</v>
      </c>
      <c r="M99" s="11" t="s">
        <v>261</v>
      </c>
      <c r="N99" s="11" t="s">
        <v>261</v>
      </c>
      <c r="O99" s="11" t="s">
        <v>261</v>
      </c>
      <c r="P99" s="11" t="s">
        <v>261</v>
      </c>
      <c r="Q99" s="11" t="s">
        <v>961</v>
      </c>
      <c r="R99" s="11" t="s">
        <v>261</v>
      </c>
      <c r="S99" s="11" t="s">
        <v>261</v>
      </c>
      <c r="T99" s="11" t="s">
        <v>552</v>
      </c>
      <c r="U99" s="11" t="s">
        <v>784</v>
      </c>
      <c r="V99" s="11">
        <v>1</v>
      </c>
      <c r="W99" s="11" t="s">
        <v>95</v>
      </c>
      <c r="X99" s="11" t="s">
        <v>261</v>
      </c>
      <c r="Y99" s="11" t="s">
        <v>261</v>
      </c>
      <c r="Z99" s="11" t="s">
        <v>261</v>
      </c>
      <c r="AA99" s="11" t="s">
        <v>583</v>
      </c>
      <c r="AB99" s="11" t="s">
        <v>261</v>
      </c>
      <c r="AC99" s="11" t="s">
        <v>261</v>
      </c>
      <c r="AD99" s="11" t="s">
        <v>551</v>
      </c>
      <c r="AE99" s="12" t="s">
        <v>261</v>
      </c>
      <c r="AF99" s="11" t="s">
        <v>261</v>
      </c>
    </row>
    <row r="100" spans="1:32" ht="45" hidden="1" x14ac:dyDescent="0.25">
      <c r="A100" s="11">
        <v>1</v>
      </c>
      <c r="B100" s="11">
        <v>202109</v>
      </c>
      <c r="C100" s="11" t="s">
        <v>297</v>
      </c>
      <c r="D100" s="11" t="str">
        <f>MID(Table22[[#This Row],[تاريخ تاييد]],1,7)</f>
        <v>1403/07</v>
      </c>
      <c r="E100" s="11" t="str">
        <f>MID(Table22[[#This Row],[تاريخ تاييد]],6,2)</f>
        <v>07</v>
      </c>
      <c r="F100" s="11" t="s">
        <v>618</v>
      </c>
      <c r="G100" s="11" t="str">
        <f>VLOOKUP(Table22[[#This Row],[شماره فني]],Sheet7!A:C,3,0)</f>
        <v>کلید شیشه بالابر</v>
      </c>
      <c r="H100" s="11" t="str">
        <f>VLOOKUP(Table22[[#This Row],[شماره فني]],Sheet7!A:B,2,0)</f>
        <v>کلید شیشه بالابر جلو چپ سورن</v>
      </c>
      <c r="I100" s="11" t="s">
        <v>305</v>
      </c>
      <c r="J100" s="11" t="s">
        <v>307</v>
      </c>
      <c r="K100" s="11" t="s">
        <v>261</v>
      </c>
      <c r="L100" s="11" t="s">
        <v>261</v>
      </c>
      <c r="M100" s="11" t="s">
        <v>261</v>
      </c>
      <c r="N100" s="11" t="s">
        <v>261</v>
      </c>
      <c r="O100" s="11" t="s">
        <v>261</v>
      </c>
      <c r="P100" s="11" t="s">
        <v>261</v>
      </c>
      <c r="Q100" s="11" t="s">
        <v>961</v>
      </c>
      <c r="R100" s="11" t="s">
        <v>261</v>
      </c>
      <c r="S100" s="11" t="s">
        <v>261</v>
      </c>
      <c r="T100" s="11" t="s">
        <v>552</v>
      </c>
      <c r="U100" s="11" t="s">
        <v>784</v>
      </c>
      <c r="V100" s="11">
        <v>3</v>
      </c>
      <c r="W100" s="11" t="s">
        <v>306</v>
      </c>
      <c r="X100" s="11" t="s">
        <v>261</v>
      </c>
      <c r="Y100" s="11" t="s">
        <v>261</v>
      </c>
      <c r="Z100" s="11" t="s">
        <v>261</v>
      </c>
      <c r="AA100" s="11" t="s">
        <v>583</v>
      </c>
      <c r="AB100" s="11" t="s">
        <v>261</v>
      </c>
      <c r="AC100" s="11" t="s">
        <v>261</v>
      </c>
      <c r="AD100" s="11" t="s">
        <v>551</v>
      </c>
      <c r="AE100" s="12" t="s">
        <v>261</v>
      </c>
      <c r="AF100" s="11" t="s">
        <v>261</v>
      </c>
    </row>
    <row r="101" spans="1:32" ht="30" hidden="1" x14ac:dyDescent="0.25">
      <c r="A101" s="11">
        <v>1</v>
      </c>
      <c r="B101" s="11">
        <v>202208</v>
      </c>
      <c r="C101" s="11" t="s">
        <v>308</v>
      </c>
      <c r="D101" s="11" t="str">
        <f>MID(Table22[[#This Row],[تاريخ تاييد]],1,7)</f>
        <v>1403/07</v>
      </c>
      <c r="E101" s="11" t="str">
        <f>MID(Table22[[#This Row],[تاريخ تاييد]],6,2)</f>
        <v>07</v>
      </c>
      <c r="F101" s="11" t="s">
        <v>618</v>
      </c>
      <c r="G101" s="11" t="str">
        <f>VLOOKUP(Table22[[#This Row],[شماره فني]],Sheet7!A:C,3,0)</f>
        <v>NOD</v>
      </c>
      <c r="H101" s="11" t="str">
        <f>VLOOKUP(Table22[[#This Row],[شماره فني]],Sheet7!A:B,2,0)</f>
        <v>NBCM TARA SAL</v>
      </c>
      <c r="I101" s="11" t="s">
        <v>316</v>
      </c>
      <c r="J101" s="11" t="s">
        <v>730</v>
      </c>
      <c r="K101" s="11" t="s">
        <v>22</v>
      </c>
      <c r="L101" s="11" t="s">
        <v>345</v>
      </c>
      <c r="M101" s="11" t="s">
        <v>261</v>
      </c>
      <c r="N101" s="11" t="s">
        <v>261</v>
      </c>
      <c r="O101" s="11" t="s">
        <v>261</v>
      </c>
      <c r="P101" s="11" t="s">
        <v>261</v>
      </c>
      <c r="Q101" s="11" t="s">
        <v>358</v>
      </c>
      <c r="R101" s="11" t="s">
        <v>261</v>
      </c>
      <c r="S101" s="11" t="s">
        <v>799</v>
      </c>
      <c r="T101" s="11" t="s">
        <v>824</v>
      </c>
      <c r="U101" s="11" t="s">
        <v>561</v>
      </c>
      <c r="V101" s="11">
        <v>1</v>
      </c>
      <c r="W101" s="11" t="s">
        <v>95</v>
      </c>
      <c r="X101" s="11" t="s">
        <v>261</v>
      </c>
      <c r="Y101" s="11" t="s">
        <v>353</v>
      </c>
      <c r="Z101" s="11" t="s">
        <v>66</v>
      </c>
      <c r="AA101" s="11" t="s">
        <v>28</v>
      </c>
      <c r="AB101" s="11" t="s">
        <v>261</v>
      </c>
      <c r="AC101" s="11" t="s">
        <v>261</v>
      </c>
      <c r="AD101" s="11" t="s">
        <v>551</v>
      </c>
      <c r="AE101" s="12" t="s">
        <v>261</v>
      </c>
      <c r="AF101" s="11" t="s">
        <v>261</v>
      </c>
    </row>
    <row r="102" spans="1:32" ht="30" hidden="1" x14ac:dyDescent="0.25">
      <c r="A102" s="11">
        <v>1</v>
      </c>
      <c r="B102" s="11">
        <v>202209</v>
      </c>
      <c r="C102" s="11" t="s">
        <v>308</v>
      </c>
      <c r="D102" s="11" t="str">
        <f>MID(Table22[[#This Row],[تاريخ تاييد]],1,7)</f>
        <v>1403/07</v>
      </c>
      <c r="E102" s="11" t="str">
        <f>MID(Table22[[#This Row],[تاريخ تاييد]],6,2)</f>
        <v>07</v>
      </c>
      <c r="F102" s="11" t="s">
        <v>618</v>
      </c>
      <c r="G102" s="11" t="str">
        <f>VLOOKUP(Table22[[#This Row],[شماره فني]],Sheet7!A:C,3,0)</f>
        <v>جلو آمپر</v>
      </c>
      <c r="H102" s="11" t="str">
        <f>VLOOKUP(Table22[[#This Row],[شماره فني]],Sheet7!A:B,2,0)</f>
        <v>جلو آمپر دنا اتوماتیک</v>
      </c>
      <c r="I102" s="11" t="s">
        <v>317</v>
      </c>
      <c r="J102" s="11" t="s">
        <v>334</v>
      </c>
      <c r="K102" s="11" t="s">
        <v>22</v>
      </c>
      <c r="L102" s="11" t="s">
        <v>345</v>
      </c>
      <c r="M102" s="11" t="s">
        <v>261</v>
      </c>
      <c r="N102" s="11" t="s">
        <v>261</v>
      </c>
      <c r="O102" s="11" t="s">
        <v>261</v>
      </c>
      <c r="P102" s="11" t="s">
        <v>261</v>
      </c>
      <c r="Q102" s="11" t="s">
        <v>259</v>
      </c>
      <c r="R102" s="11" t="s">
        <v>261</v>
      </c>
      <c r="S102" s="11" t="s">
        <v>801</v>
      </c>
      <c r="T102" s="11" t="s">
        <v>797</v>
      </c>
      <c r="U102" s="11" t="s">
        <v>561</v>
      </c>
      <c r="V102" s="11">
        <v>1</v>
      </c>
      <c r="W102" s="11" t="s">
        <v>21</v>
      </c>
      <c r="X102" s="11" t="s">
        <v>261</v>
      </c>
      <c r="Y102" s="11" t="s">
        <v>337</v>
      </c>
      <c r="Z102" s="11" t="s">
        <v>66</v>
      </c>
      <c r="AA102" s="11" t="s">
        <v>28</v>
      </c>
      <c r="AB102" s="11" t="s">
        <v>261</v>
      </c>
      <c r="AC102" s="11" t="s">
        <v>261</v>
      </c>
      <c r="AD102" s="11" t="s">
        <v>551</v>
      </c>
      <c r="AE102" s="12" t="s">
        <v>261</v>
      </c>
      <c r="AF102" s="11" t="s">
        <v>261</v>
      </c>
    </row>
    <row r="103" spans="1:32" ht="30" hidden="1" x14ac:dyDescent="0.25">
      <c r="A103" s="11">
        <v>1</v>
      </c>
      <c r="B103" s="11">
        <v>202369</v>
      </c>
      <c r="C103" s="11" t="s">
        <v>309</v>
      </c>
      <c r="D103" s="11" t="str">
        <f>MID(Table22[[#This Row],[تاريخ تاييد]],1,7)</f>
        <v>1403/07</v>
      </c>
      <c r="E103" s="11" t="str">
        <f>MID(Table22[[#This Row],[تاريخ تاييد]],6,2)</f>
        <v>07</v>
      </c>
      <c r="F103" s="11" t="s">
        <v>618</v>
      </c>
      <c r="G103" s="11" t="str">
        <f>VLOOKUP(Table22[[#This Row],[شماره فني]],Sheet7!A:C,3,0)</f>
        <v>جلو آمپر</v>
      </c>
      <c r="H103" s="11" t="str">
        <f>VLOOKUP(Table22[[#This Row],[شماره فني]],Sheet7!A:B,2,0)</f>
        <v>جلو آمپر دنا اتوماتیک</v>
      </c>
      <c r="I103" s="11" t="s">
        <v>318</v>
      </c>
      <c r="J103" s="11" t="s">
        <v>334</v>
      </c>
      <c r="K103" s="11" t="s">
        <v>22</v>
      </c>
      <c r="L103" s="11" t="s">
        <v>345</v>
      </c>
      <c r="M103" s="11" t="s">
        <v>261</v>
      </c>
      <c r="N103" s="11" t="s">
        <v>261</v>
      </c>
      <c r="O103" s="11" t="s">
        <v>261</v>
      </c>
      <c r="P103" s="11" t="s">
        <v>261</v>
      </c>
      <c r="Q103" s="11" t="s">
        <v>350</v>
      </c>
      <c r="R103" s="11" t="s">
        <v>260</v>
      </c>
      <c r="S103" s="11" t="s">
        <v>808</v>
      </c>
      <c r="T103" s="11" t="s">
        <v>809</v>
      </c>
      <c r="U103" s="11" t="s">
        <v>564</v>
      </c>
      <c r="V103" s="11">
        <v>1</v>
      </c>
      <c r="W103" s="11" t="s">
        <v>21</v>
      </c>
      <c r="X103" s="11" t="s">
        <v>261</v>
      </c>
      <c r="Y103" s="11" t="s">
        <v>337</v>
      </c>
      <c r="Z103" s="11" t="s">
        <v>66</v>
      </c>
      <c r="AA103" s="11" t="s">
        <v>29</v>
      </c>
      <c r="AB103" s="11" t="s">
        <v>261</v>
      </c>
      <c r="AC103" s="11" t="s">
        <v>261</v>
      </c>
      <c r="AD103" s="11" t="s">
        <v>551</v>
      </c>
      <c r="AE103" s="12" t="s">
        <v>261</v>
      </c>
      <c r="AF103" s="11" t="s">
        <v>348</v>
      </c>
    </row>
    <row r="104" spans="1:32" ht="30" hidden="1" x14ac:dyDescent="0.25">
      <c r="A104" s="11">
        <v>1</v>
      </c>
      <c r="B104" s="11">
        <v>202425</v>
      </c>
      <c r="C104" s="11" t="s">
        <v>310</v>
      </c>
      <c r="D104" s="11" t="str">
        <f>MID(Table22[[#This Row],[تاريخ تاييد]],1,7)</f>
        <v>1403/07</v>
      </c>
      <c r="E104" s="11" t="str">
        <f>MID(Table22[[#This Row],[تاريخ تاييد]],6,2)</f>
        <v>07</v>
      </c>
      <c r="F104" s="11" t="s">
        <v>618</v>
      </c>
      <c r="G104" s="11" t="str">
        <f>VLOOKUP(Table22[[#This Row],[شماره فني]],Sheet7!A:C,3,0)</f>
        <v>جلو آمپر</v>
      </c>
      <c r="H104" s="11" t="str">
        <f>VLOOKUP(Table22[[#This Row],[شماره فني]],Sheet7!A:B,2,0)</f>
        <v>جلو آمپر تارا اتوماتیک</v>
      </c>
      <c r="I104" s="11" t="s">
        <v>319</v>
      </c>
      <c r="J104" s="11" t="s">
        <v>233</v>
      </c>
      <c r="K104" s="11" t="s">
        <v>22</v>
      </c>
      <c r="L104" s="11" t="s">
        <v>345</v>
      </c>
      <c r="M104" s="11" t="s">
        <v>261</v>
      </c>
      <c r="N104" s="11" t="s">
        <v>261</v>
      </c>
      <c r="O104" s="11" t="s">
        <v>261</v>
      </c>
      <c r="P104" s="11" t="s">
        <v>261</v>
      </c>
      <c r="Q104" s="11" t="s">
        <v>410</v>
      </c>
      <c r="R104" s="11" t="s">
        <v>411</v>
      </c>
      <c r="S104" s="11" t="s">
        <v>817</v>
      </c>
      <c r="T104" s="11" t="s">
        <v>809</v>
      </c>
      <c r="U104" s="11" t="s">
        <v>564</v>
      </c>
      <c r="V104" s="11">
        <v>1</v>
      </c>
      <c r="W104" s="11" t="s">
        <v>20</v>
      </c>
      <c r="X104" s="11" t="s">
        <v>261</v>
      </c>
      <c r="Y104" s="11" t="s">
        <v>390</v>
      </c>
      <c r="Z104" s="11" t="s">
        <v>389</v>
      </c>
      <c r="AA104" s="11" t="s">
        <v>29</v>
      </c>
      <c r="AB104" s="11" t="s">
        <v>261</v>
      </c>
      <c r="AC104" s="11" t="s">
        <v>261</v>
      </c>
      <c r="AD104" s="11" t="s">
        <v>551</v>
      </c>
      <c r="AE104" s="12" t="s">
        <v>261</v>
      </c>
      <c r="AF104" s="11" t="s">
        <v>261</v>
      </c>
    </row>
    <row r="105" spans="1:32" ht="30" hidden="1" x14ac:dyDescent="0.25">
      <c r="A105" s="11">
        <v>1</v>
      </c>
      <c r="B105" s="11">
        <v>202477</v>
      </c>
      <c r="C105" s="11" t="s">
        <v>311</v>
      </c>
      <c r="D105" s="11" t="str">
        <f>MID(Table22[[#This Row],[تاريخ تاييد]],1,7)</f>
        <v>1403/07</v>
      </c>
      <c r="E105" s="11" t="str">
        <f>MID(Table22[[#This Row],[تاريخ تاييد]],6,2)</f>
        <v>07</v>
      </c>
      <c r="F105" s="11" t="s">
        <v>618</v>
      </c>
      <c r="G105" s="11" t="str">
        <f>VLOOKUP(Table22[[#This Row],[شماره فني]],Sheet7!A:C,3,0)</f>
        <v>NOD</v>
      </c>
      <c r="H105" s="11" t="str">
        <f>VLOOKUP(Table22[[#This Row],[شماره فني]],Sheet7!A:B,2,0)</f>
        <v>NBCM TARA SAL</v>
      </c>
      <c r="I105" s="11" t="s">
        <v>320</v>
      </c>
      <c r="J105" s="11" t="s">
        <v>334</v>
      </c>
      <c r="K105" s="11" t="s">
        <v>22</v>
      </c>
      <c r="L105" s="11" t="s">
        <v>345</v>
      </c>
      <c r="M105" s="11" t="s">
        <v>261</v>
      </c>
      <c r="N105" s="11" t="s">
        <v>261</v>
      </c>
      <c r="O105" s="11" t="s">
        <v>261</v>
      </c>
      <c r="P105" s="11" t="s">
        <v>261</v>
      </c>
      <c r="Q105" s="11" t="s">
        <v>408</v>
      </c>
      <c r="R105" s="11" t="s">
        <v>409</v>
      </c>
      <c r="S105" s="12" t="s">
        <v>818</v>
      </c>
      <c r="T105" s="11" t="s">
        <v>824</v>
      </c>
      <c r="U105" s="11" t="s">
        <v>565</v>
      </c>
      <c r="V105" s="11">
        <v>1</v>
      </c>
      <c r="W105" s="11" t="s">
        <v>95</v>
      </c>
      <c r="X105" s="11" t="s">
        <v>261</v>
      </c>
      <c r="Y105" s="11" t="s">
        <v>353</v>
      </c>
      <c r="Z105" s="11" t="s">
        <v>66</v>
      </c>
      <c r="AA105" s="11" t="s">
        <v>27</v>
      </c>
      <c r="AB105" s="11" t="s">
        <v>986</v>
      </c>
      <c r="AC105" s="11" t="s">
        <v>261</v>
      </c>
      <c r="AD105" s="11" t="s">
        <v>551</v>
      </c>
      <c r="AE105" s="12" t="s">
        <v>261</v>
      </c>
      <c r="AF105" s="11" t="s">
        <v>261</v>
      </c>
    </row>
    <row r="106" spans="1:32" ht="30" hidden="1" x14ac:dyDescent="0.25">
      <c r="A106" s="11">
        <v>1</v>
      </c>
      <c r="B106" s="11">
        <v>202478</v>
      </c>
      <c r="C106" s="11" t="s">
        <v>311</v>
      </c>
      <c r="D106" s="11" t="str">
        <f>MID(Table22[[#This Row],[تاريخ تاييد]],1,7)</f>
        <v>1403/07</v>
      </c>
      <c r="E106" s="11" t="str">
        <f>MID(Table22[[#This Row],[تاريخ تاييد]],6,2)</f>
        <v>07</v>
      </c>
      <c r="F106" s="11" t="s">
        <v>618</v>
      </c>
      <c r="G106" s="11" t="str">
        <f>VLOOKUP(Table22[[#This Row],[شماره فني]],Sheet7!A:C,3,0)</f>
        <v>کلید شیشه بالابر</v>
      </c>
      <c r="H106" s="11" t="str">
        <f>VLOOKUP(Table22[[#This Row],[شماره فني]],Sheet7!A:B,2,0)</f>
        <v>کلید شیشه بالابر جلو چپ سورن</v>
      </c>
      <c r="I106" s="11" t="s">
        <v>321</v>
      </c>
      <c r="J106" s="11" t="s">
        <v>334</v>
      </c>
      <c r="K106" s="11" t="s">
        <v>22</v>
      </c>
      <c r="L106" s="11" t="s">
        <v>345</v>
      </c>
      <c r="M106" s="11" t="s">
        <v>261</v>
      </c>
      <c r="N106" s="11" t="s">
        <v>261</v>
      </c>
      <c r="O106" s="11" t="s">
        <v>261</v>
      </c>
      <c r="P106" s="11" t="s">
        <v>261</v>
      </c>
      <c r="Q106" s="11" t="s">
        <v>261</v>
      </c>
      <c r="R106" s="11" t="s">
        <v>261</v>
      </c>
      <c r="S106" s="11" t="s">
        <v>261</v>
      </c>
      <c r="T106" s="11" t="s">
        <v>583</v>
      </c>
      <c r="U106" s="11" t="s">
        <v>583</v>
      </c>
      <c r="V106" s="11">
        <v>1</v>
      </c>
      <c r="W106" s="11" t="s">
        <v>306</v>
      </c>
      <c r="X106" s="11" t="s">
        <v>261</v>
      </c>
      <c r="Y106" s="11" t="s">
        <v>390</v>
      </c>
      <c r="Z106" s="11" t="s">
        <v>389</v>
      </c>
      <c r="AA106" s="11" t="s">
        <v>583</v>
      </c>
      <c r="AB106" s="11" t="s">
        <v>261</v>
      </c>
      <c r="AC106" s="11" t="s">
        <v>261</v>
      </c>
      <c r="AD106" s="11" t="s">
        <v>551</v>
      </c>
      <c r="AE106" s="12" t="s">
        <v>261</v>
      </c>
      <c r="AF106" s="11" t="s">
        <v>261</v>
      </c>
    </row>
    <row r="107" spans="1:32" ht="30" hidden="1" x14ac:dyDescent="0.25">
      <c r="A107" s="11">
        <v>1</v>
      </c>
      <c r="B107" s="11">
        <v>202502</v>
      </c>
      <c r="C107" s="11" t="s">
        <v>312</v>
      </c>
      <c r="D107" s="11" t="str">
        <f>MID(Table22[[#This Row],[تاريخ تاييد]],1,7)</f>
        <v>1403/07</v>
      </c>
      <c r="E107" s="11" t="str">
        <f>MID(Table22[[#This Row],[تاريخ تاييد]],6,2)</f>
        <v>07</v>
      </c>
      <c r="F107" s="11" t="s">
        <v>618</v>
      </c>
      <c r="G107" s="11" t="str">
        <f>VLOOKUP(Table22[[#This Row],[شماره فني]],Sheet7!A:C,3,0)</f>
        <v>جلو آمپر</v>
      </c>
      <c r="H107" s="11" t="str">
        <f>VLOOKUP(Table22[[#This Row],[شماره فني]],Sheet7!A:B,2,0)</f>
        <v>جلو آمپر207  معمولی85 گانه</v>
      </c>
      <c r="I107" s="11" t="s">
        <v>322</v>
      </c>
      <c r="J107" s="11" t="s">
        <v>724</v>
      </c>
      <c r="K107" s="11" t="s">
        <v>22</v>
      </c>
      <c r="L107" s="11" t="s">
        <v>353</v>
      </c>
      <c r="M107" s="11" t="s">
        <v>261</v>
      </c>
      <c r="N107" s="11" t="s">
        <v>261</v>
      </c>
      <c r="O107" s="11" t="s">
        <v>261</v>
      </c>
      <c r="P107" s="11" t="s">
        <v>261</v>
      </c>
      <c r="Q107" s="11" t="s">
        <v>807</v>
      </c>
      <c r="R107" s="11" t="s">
        <v>260</v>
      </c>
      <c r="S107" s="11" t="s">
        <v>808</v>
      </c>
      <c r="T107" s="11" t="s">
        <v>809</v>
      </c>
      <c r="U107" s="11" t="s">
        <v>564</v>
      </c>
      <c r="V107" s="11">
        <v>1</v>
      </c>
      <c r="W107" s="11" t="s">
        <v>30</v>
      </c>
      <c r="X107" s="11" t="s">
        <v>261</v>
      </c>
      <c r="Y107" s="11" t="s">
        <v>353</v>
      </c>
      <c r="Z107" s="11" t="s">
        <v>66</v>
      </c>
      <c r="AA107" s="11" t="s">
        <v>29</v>
      </c>
      <c r="AB107" s="11" t="s">
        <v>261</v>
      </c>
      <c r="AC107" s="11" t="s">
        <v>261</v>
      </c>
      <c r="AD107" s="11" t="s">
        <v>551</v>
      </c>
      <c r="AE107" s="12" t="s">
        <v>261</v>
      </c>
      <c r="AF107" s="11" t="s">
        <v>261</v>
      </c>
    </row>
    <row r="108" spans="1:32" ht="30" hidden="1" x14ac:dyDescent="0.25">
      <c r="A108" s="11">
        <v>1</v>
      </c>
      <c r="B108" s="11">
        <v>202546</v>
      </c>
      <c r="C108" s="11" t="s">
        <v>312</v>
      </c>
      <c r="D108" s="11" t="str">
        <f>MID(Table22[[#This Row],[تاريخ تاييد]],1,7)</f>
        <v>1403/07</v>
      </c>
      <c r="E108" s="11" t="str">
        <f>MID(Table22[[#This Row],[تاريخ تاييد]],6,2)</f>
        <v>07</v>
      </c>
      <c r="F108" s="11" t="s">
        <v>618</v>
      </c>
      <c r="G108" s="11" t="str">
        <f>VLOOKUP(Table22[[#This Row],[شماره فني]],Sheet7!A:C,3,0)</f>
        <v>جلو آمپر</v>
      </c>
      <c r="H108" s="11" t="str">
        <f>VLOOKUP(Table22[[#This Row],[شماره فني]],Sheet7!A:B,2,0)</f>
        <v>جلو آمپر دنا ST</v>
      </c>
      <c r="I108" s="11" t="s">
        <v>323</v>
      </c>
      <c r="J108" s="11" t="s">
        <v>334</v>
      </c>
      <c r="K108" s="11" t="s">
        <v>22</v>
      </c>
      <c r="L108" s="11" t="s">
        <v>353</v>
      </c>
      <c r="M108" s="11" t="s">
        <v>261</v>
      </c>
      <c r="N108" s="11" t="s">
        <v>261</v>
      </c>
      <c r="O108" s="11" t="s">
        <v>261</v>
      </c>
      <c r="P108" s="11" t="s">
        <v>261</v>
      </c>
      <c r="Q108" s="11" t="s">
        <v>354</v>
      </c>
      <c r="R108" s="11" t="s">
        <v>841</v>
      </c>
      <c r="S108" s="11" t="s">
        <v>978</v>
      </c>
      <c r="T108" s="11" t="s">
        <v>351</v>
      </c>
      <c r="U108" s="11" t="s">
        <v>561</v>
      </c>
      <c r="V108" s="11">
        <v>1</v>
      </c>
      <c r="W108" s="11" t="s">
        <v>96</v>
      </c>
      <c r="X108" s="11" t="s">
        <v>261</v>
      </c>
      <c r="Y108" s="11" t="s">
        <v>353</v>
      </c>
      <c r="Z108" s="11" t="s">
        <v>66</v>
      </c>
      <c r="AA108" s="11" t="s">
        <v>28</v>
      </c>
      <c r="AB108" s="11" t="s">
        <v>261</v>
      </c>
      <c r="AC108" s="11" t="s">
        <v>261</v>
      </c>
      <c r="AD108" s="11" t="s">
        <v>551</v>
      </c>
      <c r="AE108" s="12" t="s">
        <v>261</v>
      </c>
      <c r="AF108" s="11" t="s">
        <v>261</v>
      </c>
    </row>
    <row r="109" spans="1:32" ht="45" hidden="1" x14ac:dyDescent="0.25">
      <c r="A109" s="11">
        <v>1</v>
      </c>
      <c r="B109" s="11">
        <v>202548</v>
      </c>
      <c r="C109" s="11" t="s">
        <v>313</v>
      </c>
      <c r="D109" s="11" t="str">
        <f>MID(Table22[[#This Row],[تاريخ تاييد]],1,7)</f>
        <v>1403/07</v>
      </c>
      <c r="E109" s="11" t="str">
        <f>MID(Table22[[#This Row],[تاريخ تاييد]],6,2)</f>
        <v>07</v>
      </c>
      <c r="F109" s="11" t="s">
        <v>618</v>
      </c>
      <c r="G109" s="11" t="str">
        <f>VLOOKUP(Table22[[#This Row],[شماره فني]],Sheet7!A:C,3,0)</f>
        <v>NOD</v>
      </c>
      <c r="H109" s="11" t="str">
        <f>VLOOKUP(Table22[[#This Row],[شماره فني]],Sheet7!A:B,2,0)</f>
        <v>NBCM DENA</v>
      </c>
      <c r="I109" s="11" t="s">
        <v>324</v>
      </c>
      <c r="J109" s="11" t="s">
        <v>334</v>
      </c>
      <c r="K109" s="11" t="s">
        <v>261</v>
      </c>
      <c r="L109" s="11" t="s">
        <v>261</v>
      </c>
      <c r="M109" s="11" t="s">
        <v>261</v>
      </c>
      <c r="N109" s="11" t="s">
        <v>261</v>
      </c>
      <c r="O109" s="11" t="s">
        <v>261</v>
      </c>
      <c r="P109" s="11" t="s">
        <v>261</v>
      </c>
      <c r="Q109" s="11" t="s">
        <v>961</v>
      </c>
      <c r="R109" s="11" t="s">
        <v>261</v>
      </c>
      <c r="S109" s="11" t="s">
        <v>261</v>
      </c>
      <c r="T109" s="11" t="s">
        <v>552</v>
      </c>
      <c r="U109" s="11" t="s">
        <v>784</v>
      </c>
      <c r="V109" s="11">
        <v>10</v>
      </c>
      <c r="W109" s="11" t="s">
        <v>16</v>
      </c>
      <c r="X109" s="11" t="s">
        <v>261</v>
      </c>
      <c r="Y109" s="11" t="s">
        <v>261</v>
      </c>
      <c r="Z109" s="11" t="s">
        <v>261</v>
      </c>
      <c r="AA109" s="11" t="s">
        <v>583</v>
      </c>
      <c r="AB109" s="11" t="s">
        <v>261</v>
      </c>
      <c r="AC109" s="11" t="s">
        <v>261</v>
      </c>
      <c r="AD109" s="11" t="s">
        <v>551</v>
      </c>
      <c r="AE109" s="12" t="s">
        <v>261</v>
      </c>
      <c r="AF109" s="11" t="s">
        <v>261</v>
      </c>
    </row>
    <row r="110" spans="1:32" ht="45" hidden="1" x14ac:dyDescent="0.25">
      <c r="A110" s="11">
        <v>1</v>
      </c>
      <c r="B110" s="11">
        <v>202550</v>
      </c>
      <c r="C110" s="11" t="s">
        <v>313</v>
      </c>
      <c r="D110" s="11" t="str">
        <f>MID(Table22[[#This Row],[تاريخ تاييد]],1,7)</f>
        <v>1403/07</v>
      </c>
      <c r="E110" s="11" t="str">
        <f>MID(Table22[[#This Row],[تاريخ تاييد]],6,2)</f>
        <v>07</v>
      </c>
      <c r="F110" s="11" t="s">
        <v>618</v>
      </c>
      <c r="G110" s="11" t="str">
        <f>VLOOKUP(Table22[[#This Row],[شماره فني]],Sheet7!A:C,3,0)</f>
        <v>NOD</v>
      </c>
      <c r="H110" s="11" t="str">
        <f>VLOOKUP(Table22[[#This Row],[شماره فني]],Sheet7!A:B,2,0)</f>
        <v>NBCM TARA SAL</v>
      </c>
      <c r="I110" s="11" t="s">
        <v>324</v>
      </c>
      <c r="J110" s="11" t="s">
        <v>334</v>
      </c>
      <c r="K110" s="11" t="s">
        <v>261</v>
      </c>
      <c r="L110" s="11" t="s">
        <v>261</v>
      </c>
      <c r="M110" s="11" t="s">
        <v>261</v>
      </c>
      <c r="N110" s="11" t="s">
        <v>261</v>
      </c>
      <c r="O110" s="11" t="s">
        <v>261</v>
      </c>
      <c r="P110" s="11" t="s">
        <v>261</v>
      </c>
      <c r="Q110" s="11" t="s">
        <v>961</v>
      </c>
      <c r="R110" s="11" t="s">
        <v>261</v>
      </c>
      <c r="S110" s="11" t="s">
        <v>261</v>
      </c>
      <c r="T110" s="11" t="s">
        <v>552</v>
      </c>
      <c r="U110" s="11" t="s">
        <v>784</v>
      </c>
      <c r="V110" s="11">
        <v>10</v>
      </c>
      <c r="W110" s="11" t="s">
        <v>95</v>
      </c>
      <c r="X110" s="11" t="s">
        <v>261</v>
      </c>
      <c r="Y110" s="11" t="s">
        <v>261</v>
      </c>
      <c r="Z110" s="11" t="s">
        <v>261</v>
      </c>
      <c r="AA110" s="11" t="s">
        <v>583</v>
      </c>
      <c r="AB110" s="11" t="s">
        <v>261</v>
      </c>
      <c r="AC110" s="11" t="s">
        <v>261</v>
      </c>
      <c r="AD110" s="11" t="s">
        <v>551</v>
      </c>
      <c r="AE110" s="12" t="s">
        <v>261</v>
      </c>
      <c r="AF110" s="11" t="s">
        <v>261</v>
      </c>
    </row>
    <row r="111" spans="1:32" ht="45" hidden="1" x14ac:dyDescent="0.25">
      <c r="A111" s="11">
        <v>1</v>
      </c>
      <c r="B111" s="11">
        <v>202551</v>
      </c>
      <c r="C111" s="11" t="s">
        <v>313</v>
      </c>
      <c r="D111" s="11" t="str">
        <f>MID(Table22[[#This Row],[تاريخ تاييد]],1,7)</f>
        <v>1403/07</v>
      </c>
      <c r="E111" s="11" t="str">
        <f>MID(Table22[[#This Row],[تاريخ تاييد]],6,2)</f>
        <v>07</v>
      </c>
      <c r="F111" s="11" t="s">
        <v>618</v>
      </c>
      <c r="G111" s="11" t="str">
        <f>VLOOKUP(Table22[[#This Row],[شماره فني]],Sheet7!A:C,3,0)</f>
        <v>NOD</v>
      </c>
      <c r="H111" s="11" t="str">
        <f>VLOOKUP(Table22[[#This Row],[شماره فني]],Sheet7!A:B,2,0)</f>
        <v>NBCM TARA</v>
      </c>
      <c r="I111" s="11" t="s">
        <v>324</v>
      </c>
      <c r="J111" s="11" t="s">
        <v>334</v>
      </c>
      <c r="K111" s="11" t="s">
        <v>261</v>
      </c>
      <c r="L111" s="11" t="s">
        <v>261</v>
      </c>
      <c r="M111" s="11" t="s">
        <v>261</v>
      </c>
      <c r="N111" s="11" t="s">
        <v>261</v>
      </c>
      <c r="O111" s="11" t="s">
        <v>261</v>
      </c>
      <c r="P111" s="11" t="s">
        <v>261</v>
      </c>
      <c r="Q111" s="11" t="s">
        <v>961</v>
      </c>
      <c r="R111" s="11" t="s">
        <v>261</v>
      </c>
      <c r="S111" s="11" t="s">
        <v>261</v>
      </c>
      <c r="T111" s="11" t="s">
        <v>552</v>
      </c>
      <c r="U111" s="11" t="s">
        <v>784</v>
      </c>
      <c r="V111" s="11">
        <v>10</v>
      </c>
      <c r="W111" s="11" t="s">
        <v>15</v>
      </c>
      <c r="X111" s="11" t="s">
        <v>261</v>
      </c>
      <c r="Y111" s="11" t="s">
        <v>261</v>
      </c>
      <c r="Z111" s="11" t="s">
        <v>261</v>
      </c>
      <c r="AA111" s="11" t="s">
        <v>583</v>
      </c>
      <c r="AB111" s="11" t="s">
        <v>261</v>
      </c>
      <c r="AC111" s="11" t="s">
        <v>261</v>
      </c>
      <c r="AD111" s="11" t="s">
        <v>551</v>
      </c>
      <c r="AE111" s="12" t="s">
        <v>261</v>
      </c>
      <c r="AF111" s="11" t="s">
        <v>261</v>
      </c>
    </row>
    <row r="112" spans="1:32" ht="45" hidden="1" x14ac:dyDescent="0.25">
      <c r="A112" s="11">
        <v>1</v>
      </c>
      <c r="B112" s="11">
        <v>202607</v>
      </c>
      <c r="C112" s="11" t="s">
        <v>313</v>
      </c>
      <c r="D112" s="11" t="str">
        <f>MID(Table22[[#This Row],[تاريخ تاييد]],1,7)</f>
        <v>1403/07</v>
      </c>
      <c r="E112" s="11" t="str">
        <f>MID(Table22[[#This Row],[تاريخ تاييد]],6,2)</f>
        <v>07</v>
      </c>
      <c r="F112" s="11" t="s">
        <v>618</v>
      </c>
      <c r="G112" s="11" t="str">
        <f>VLOOKUP(Table22[[#This Row],[شماره فني]],Sheet7!A:C,3,0)</f>
        <v>جلو آمپر</v>
      </c>
      <c r="H112" s="11" t="str">
        <f>VLOOKUP(Table22[[#This Row],[شماره فني]],Sheet7!A:B,2,0)</f>
        <v>جلو آمپر دنا اتوماتیک</v>
      </c>
      <c r="I112" s="11" t="s">
        <v>325</v>
      </c>
      <c r="J112" s="11" t="s">
        <v>233</v>
      </c>
      <c r="K112" s="11" t="s">
        <v>261</v>
      </c>
      <c r="L112" s="11" t="s">
        <v>261</v>
      </c>
      <c r="M112" s="11" t="s">
        <v>261</v>
      </c>
      <c r="N112" s="11" t="s">
        <v>261</v>
      </c>
      <c r="O112" s="11" t="s">
        <v>261</v>
      </c>
      <c r="P112" s="11" t="s">
        <v>261</v>
      </c>
      <c r="Q112" s="11" t="s">
        <v>961</v>
      </c>
      <c r="R112" s="11" t="s">
        <v>261</v>
      </c>
      <c r="S112" s="11" t="s">
        <v>261</v>
      </c>
      <c r="T112" s="11" t="s">
        <v>552</v>
      </c>
      <c r="U112" s="11" t="s">
        <v>784</v>
      </c>
      <c r="V112" s="11">
        <v>1</v>
      </c>
      <c r="W112" s="11" t="s">
        <v>21</v>
      </c>
      <c r="X112" s="11" t="s">
        <v>261</v>
      </c>
      <c r="Y112" s="11" t="s">
        <v>261</v>
      </c>
      <c r="Z112" s="11" t="s">
        <v>261</v>
      </c>
      <c r="AA112" s="11" t="s">
        <v>583</v>
      </c>
      <c r="AB112" s="11" t="s">
        <v>261</v>
      </c>
      <c r="AC112" s="11" t="s">
        <v>261</v>
      </c>
      <c r="AD112" s="11" t="s">
        <v>551</v>
      </c>
      <c r="AE112" s="12" t="s">
        <v>261</v>
      </c>
      <c r="AF112" s="11" t="s">
        <v>261</v>
      </c>
    </row>
    <row r="113" spans="1:32" ht="30" hidden="1" x14ac:dyDescent="0.25">
      <c r="A113" s="11">
        <v>1</v>
      </c>
      <c r="B113" s="11">
        <v>202633</v>
      </c>
      <c r="C113" s="11" t="s">
        <v>313</v>
      </c>
      <c r="D113" s="11" t="str">
        <f>MID(Table22[[#This Row],[تاريخ تاييد]],1,7)</f>
        <v>1403/07</v>
      </c>
      <c r="E113" s="11" t="str">
        <f>MID(Table22[[#This Row],[تاريخ تاييد]],6,2)</f>
        <v>07</v>
      </c>
      <c r="F113" s="11" t="s">
        <v>618</v>
      </c>
      <c r="G113" s="11" t="str">
        <f>VLOOKUP(Table22[[#This Row],[شماره فني]],Sheet7!A:C,3,0)</f>
        <v>NOD</v>
      </c>
      <c r="H113" s="11" t="str">
        <f>VLOOKUP(Table22[[#This Row],[شماره فني]],Sheet7!A:B,2,0)</f>
        <v>NBCM TARA SAL</v>
      </c>
      <c r="I113" s="11" t="s">
        <v>326</v>
      </c>
      <c r="J113" s="11" t="s">
        <v>724</v>
      </c>
      <c r="K113" s="11" t="s">
        <v>22</v>
      </c>
      <c r="L113" s="11" t="s">
        <v>353</v>
      </c>
      <c r="M113" s="11" t="s">
        <v>261</v>
      </c>
      <c r="N113" s="11" t="s">
        <v>261</v>
      </c>
      <c r="O113" s="11" t="s">
        <v>261</v>
      </c>
      <c r="P113" s="11" t="s">
        <v>261</v>
      </c>
      <c r="Q113" s="11" t="s">
        <v>356</v>
      </c>
      <c r="R113" s="11" t="s">
        <v>357</v>
      </c>
      <c r="S113" s="11" t="s">
        <v>985</v>
      </c>
      <c r="T113" s="11" t="s">
        <v>361</v>
      </c>
      <c r="U113" s="11" t="s">
        <v>586</v>
      </c>
      <c r="V113" s="11">
        <v>1</v>
      </c>
      <c r="W113" s="11" t="s">
        <v>95</v>
      </c>
      <c r="X113" s="11" t="s">
        <v>261</v>
      </c>
      <c r="Y113" s="11" t="s">
        <v>353</v>
      </c>
      <c r="Z113" s="11" t="s">
        <v>66</v>
      </c>
      <c r="AA113" s="11" t="s">
        <v>26</v>
      </c>
      <c r="AB113" s="11" t="s">
        <v>261</v>
      </c>
      <c r="AC113" s="11" t="s">
        <v>583</v>
      </c>
      <c r="AD113" s="11" t="s">
        <v>551</v>
      </c>
      <c r="AE113" s="12" t="s">
        <v>261</v>
      </c>
      <c r="AF113" s="11" t="s">
        <v>261</v>
      </c>
    </row>
    <row r="114" spans="1:32" ht="30" hidden="1" x14ac:dyDescent="0.25">
      <c r="A114" s="11">
        <v>1</v>
      </c>
      <c r="B114" s="11">
        <v>202635</v>
      </c>
      <c r="C114" s="11" t="s">
        <v>313</v>
      </c>
      <c r="D114" s="11" t="str">
        <f>MID(Table22[[#This Row],[تاريخ تاييد]],1,7)</f>
        <v>1403/07</v>
      </c>
      <c r="E114" s="11" t="str">
        <f>MID(Table22[[#This Row],[تاريخ تاييد]],6,2)</f>
        <v>07</v>
      </c>
      <c r="F114" s="11" t="s">
        <v>618</v>
      </c>
      <c r="G114" s="11" t="str">
        <f>VLOOKUP(Table22[[#This Row],[شماره فني]],Sheet7!A:C,3,0)</f>
        <v>جلو آمپر</v>
      </c>
      <c r="H114" s="11" t="str">
        <f>VLOOKUP(Table22[[#This Row],[شماره فني]],Sheet7!A:B,2,0)</f>
        <v>جلو آمپر تارا اتوماتیک</v>
      </c>
      <c r="I114" s="11" t="s">
        <v>327</v>
      </c>
      <c r="J114" s="11" t="s">
        <v>231</v>
      </c>
      <c r="K114" s="11" t="s">
        <v>23</v>
      </c>
      <c r="L114" s="11" t="s">
        <v>353</v>
      </c>
      <c r="M114" s="11" t="s">
        <v>261</v>
      </c>
      <c r="N114" s="11" t="s">
        <v>261</v>
      </c>
      <c r="O114" s="11" t="s">
        <v>261</v>
      </c>
      <c r="P114" s="11" t="s">
        <v>261</v>
      </c>
      <c r="Q114" s="11" t="s">
        <v>419</v>
      </c>
      <c r="R114" s="11" t="s">
        <v>261</v>
      </c>
      <c r="S114" s="11" t="s">
        <v>261</v>
      </c>
      <c r="T114" s="11" t="s">
        <v>583</v>
      </c>
      <c r="U114" s="11" t="s">
        <v>583</v>
      </c>
      <c r="V114" s="11">
        <v>1</v>
      </c>
      <c r="W114" s="11" t="s">
        <v>20</v>
      </c>
      <c r="X114" s="11" t="s">
        <v>261</v>
      </c>
      <c r="Y114" s="11" t="s">
        <v>390</v>
      </c>
      <c r="Z114" s="11" t="s">
        <v>389</v>
      </c>
      <c r="AA114" s="11" t="s">
        <v>583</v>
      </c>
      <c r="AB114" s="11" t="s">
        <v>261</v>
      </c>
      <c r="AC114" s="11" t="s">
        <v>261</v>
      </c>
      <c r="AD114" s="11" t="s">
        <v>551</v>
      </c>
      <c r="AE114" s="12" t="s">
        <v>261</v>
      </c>
      <c r="AF114" s="11" t="s">
        <v>261</v>
      </c>
    </row>
    <row r="115" spans="1:32" ht="30" hidden="1" x14ac:dyDescent="0.25">
      <c r="A115" s="11">
        <v>1</v>
      </c>
      <c r="B115" s="11">
        <v>202686</v>
      </c>
      <c r="C115" s="11" t="s">
        <v>313</v>
      </c>
      <c r="D115" s="11" t="str">
        <f>MID(Table22[[#This Row],[تاريخ تاييد]],1,7)</f>
        <v>1403/07</v>
      </c>
      <c r="E115" s="11" t="str">
        <f>MID(Table22[[#This Row],[تاريخ تاييد]],6,2)</f>
        <v>07</v>
      </c>
      <c r="F115" s="11" t="s">
        <v>618</v>
      </c>
      <c r="G115" s="11" t="str">
        <f>VLOOKUP(Table22[[#This Row],[شماره فني]],Sheet7!A:C,3,0)</f>
        <v>جلو آمپر</v>
      </c>
      <c r="H115" s="11" t="str">
        <f>VLOOKUP(Table22[[#This Row],[شماره فني]],Sheet7!A:B,2,0)</f>
        <v>جلو آمپر207  معمولی85 گانه</v>
      </c>
      <c r="I115" s="11" t="s">
        <v>328</v>
      </c>
      <c r="J115" s="11" t="s">
        <v>335</v>
      </c>
      <c r="K115" s="11" t="s">
        <v>23</v>
      </c>
      <c r="L115" s="11" t="s">
        <v>353</v>
      </c>
      <c r="M115" s="11" t="s">
        <v>261</v>
      </c>
      <c r="N115" s="11" t="s">
        <v>261</v>
      </c>
      <c r="O115" s="11" t="s">
        <v>261</v>
      </c>
      <c r="P115" s="11" t="s">
        <v>261</v>
      </c>
      <c r="Q115" s="11" t="s">
        <v>964</v>
      </c>
      <c r="R115" s="11" t="s">
        <v>355</v>
      </c>
      <c r="S115" s="11" t="s">
        <v>261</v>
      </c>
      <c r="T115" s="11" t="s">
        <v>570</v>
      </c>
      <c r="U115" s="11" t="s">
        <v>570</v>
      </c>
      <c r="V115" s="11">
        <v>1</v>
      </c>
      <c r="W115" s="11" t="s">
        <v>30</v>
      </c>
      <c r="X115" s="11" t="s">
        <v>261</v>
      </c>
      <c r="Y115" s="11" t="s">
        <v>353</v>
      </c>
      <c r="Z115" s="11" t="s">
        <v>66</v>
      </c>
      <c r="AA115" s="11" t="s">
        <v>583</v>
      </c>
      <c r="AB115" s="11" t="s">
        <v>261</v>
      </c>
      <c r="AC115" s="11" t="s">
        <v>261</v>
      </c>
      <c r="AD115" s="11" t="s">
        <v>551</v>
      </c>
      <c r="AE115" s="12" t="s">
        <v>965</v>
      </c>
      <c r="AF115" s="11" t="s">
        <v>261</v>
      </c>
    </row>
    <row r="116" spans="1:32" ht="30" hidden="1" x14ac:dyDescent="0.25">
      <c r="A116" s="11">
        <v>1</v>
      </c>
      <c r="B116" s="11">
        <v>202844</v>
      </c>
      <c r="C116" s="11" t="s">
        <v>314</v>
      </c>
      <c r="D116" s="11" t="str">
        <f>MID(Table22[[#This Row],[تاريخ تاييد]],1,7)</f>
        <v>1403/07</v>
      </c>
      <c r="E116" s="11" t="str">
        <f>MID(Table22[[#This Row],[تاريخ تاييد]],6,2)</f>
        <v>07</v>
      </c>
      <c r="F116" s="11" t="s">
        <v>618</v>
      </c>
      <c r="G116" s="11" t="str">
        <f>VLOOKUP(Table22[[#This Row],[شماره فني]],Sheet7!A:C,3,0)</f>
        <v>جلو آمپر</v>
      </c>
      <c r="H116" s="11" t="str">
        <f>VLOOKUP(Table22[[#This Row],[شماره فني]],Sheet7!A:B,2,0)</f>
        <v>جلو آمپر207  معمولی85 گانه</v>
      </c>
      <c r="I116" s="11" t="s">
        <v>329</v>
      </c>
      <c r="J116" s="11" t="s">
        <v>334</v>
      </c>
      <c r="K116" s="11" t="s">
        <v>23</v>
      </c>
      <c r="L116" s="11" t="s">
        <v>353</v>
      </c>
      <c r="M116" s="11" t="s">
        <v>261</v>
      </c>
      <c r="N116" s="11" t="s">
        <v>261</v>
      </c>
      <c r="O116" s="11" t="s">
        <v>261</v>
      </c>
      <c r="P116" s="11" t="s">
        <v>261</v>
      </c>
      <c r="Q116" s="11" t="s">
        <v>106</v>
      </c>
      <c r="R116" s="11" t="s">
        <v>261</v>
      </c>
      <c r="S116" s="11" t="s">
        <v>823</v>
      </c>
      <c r="T116" s="11" t="s">
        <v>824</v>
      </c>
      <c r="U116" s="11" t="s">
        <v>586</v>
      </c>
      <c r="V116" s="11">
        <v>1</v>
      </c>
      <c r="W116" s="11" t="s">
        <v>30</v>
      </c>
      <c r="X116" s="11" t="s">
        <v>261</v>
      </c>
      <c r="Y116" s="11" t="s">
        <v>353</v>
      </c>
      <c r="Z116" s="11" t="s">
        <v>66</v>
      </c>
      <c r="AA116" s="11" t="s">
        <v>26</v>
      </c>
      <c r="AB116" s="11" t="s">
        <v>261</v>
      </c>
      <c r="AC116" s="11" t="s">
        <v>583</v>
      </c>
      <c r="AD116" s="11" t="s">
        <v>551</v>
      </c>
      <c r="AE116" s="12" t="s">
        <v>261</v>
      </c>
      <c r="AF116" s="11" t="s">
        <v>261</v>
      </c>
    </row>
    <row r="117" spans="1:32" ht="30" hidden="1" x14ac:dyDescent="0.25">
      <c r="A117" s="11">
        <v>1</v>
      </c>
      <c r="B117" s="11">
        <v>202845</v>
      </c>
      <c r="C117" s="11" t="s">
        <v>314</v>
      </c>
      <c r="D117" s="11" t="str">
        <f>MID(Table22[[#This Row],[تاريخ تاييد]],1,7)</f>
        <v>1403/07</v>
      </c>
      <c r="E117" s="11" t="str">
        <f>MID(Table22[[#This Row],[تاريخ تاييد]],6,2)</f>
        <v>07</v>
      </c>
      <c r="F117" s="11" t="s">
        <v>618</v>
      </c>
      <c r="G117" s="11" t="str">
        <f>VLOOKUP(Table22[[#This Row],[شماره فني]],Sheet7!A:C,3,0)</f>
        <v>NOD</v>
      </c>
      <c r="H117" s="11" t="str">
        <f>VLOOKUP(Table22[[#This Row],[شماره فني]],Sheet7!A:B,2,0)</f>
        <v>NBCM DENA</v>
      </c>
      <c r="I117" s="11" t="s">
        <v>330</v>
      </c>
      <c r="J117" s="11" t="s">
        <v>485</v>
      </c>
      <c r="K117" s="11" t="s">
        <v>23</v>
      </c>
      <c r="L117" s="11" t="s">
        <v>353</v>
      </c>
      <c r="M117" s="11" t="s">
        <v>261</v>
      </c>
      <c r="N117" s="11" t="s">
        <v>261</v>
      </c>
      <c r="O117" s="11" t="s">
        <v>22</v>
      </c>
      <c r="P117" s="11" t="s">
        <v>353</v>
      </c>
      <c r="Q117" s="11" t="s">
        <v>359</v>
      </c>
      <c r="R117" s="11" t="s">
        <v>261</v>
      </c>
      <c r="S117" s="11" t="s">
        <v>985</v>
      </c>
      <c r="T117" s="11" t="s">
        <v>360</v>
      </c>
      <c r="U117" s="11" t="s">
        <v>572</v>
      </c>
      <c r="V117" s="11">
        <v>1</v>
      </c>
      <c r="W117" s="11" t="s">
        <v>16</v>
      </c>
      <c r="X117" s="11" t="s">
        <v>261</v>
      </c>
      <c r="Y117" s="11" t="s">
        <v>353</v>
      </c>
      <c r="Z117" s="11" t="s">
        <v>66</v>
      </c>
      <c r="AA117" s="11" t="s">
        <v>29</v>
      </c>
      <c r="AB117" s="11" t="s">
        <v>261</v>
      </c>
      <c r="AC117" s="11" t="s">
        <v>261</v>
      </c>
      <c r="AD117" s="11" t="s">
        <v>551</v>
      </c>
      <c r="AE117" s="12" t="s">
        <v>261</v>
      </c>
      <c r="AF117" s="11" t="s">
        <v>261</v>
      </c>
    </row>
    <row r="118" spans="1:32" ht="30" hidden="1" x14ac:dyDescent="0.25">
      <c r="A118" s="11">
        <v>1</v>
      </c>
      <c r="B118" s="11">
        <v>202974</v>
      </c>
      <c r="C118" s="11" t="s">
        <v>315</v>
      </c>
      <c r="D118" s="11" t="str">
        <f>MID(Table22[[#This Row],[تاريخ تاييد]],1,7)</f>
        <v>1403/07</v>
      </c>
      <c r="E118" s="11" t="str">
        <f>MID(Table22[[#This Row],[تاريخ تاييد]],6,2)</f>
        <v>07</v>
      </c>
      <c r="F118" s="11" t="s">
        <v>618</v>
      </c>
      <c r="G118" s="11" t="str">
        <f>VLOOKUP(Table22[[#This Row],[شماره فني]],Sheet7!A:C,3,0)</f>
        <v>جلو آمپر</v>
      </c>
      <c r="H118" s="11" t="str">
        <f>VLOOKUP(Table22[[#This Row],[شماره فني]],Sheet7!A:B,2,0)</f>
        <v>جلو آمپر تارا اتوماتیک</v>
      </c>
      <c r="I118" s="11" t="s">
        <v>331</v>
      </c>
      <c r="J118" s="11" t="s">
        <v>728</v>
      </c>
      <c r="K118" s="11" t="s">
        <v>22</v>
      </c>
      <c r="L118" s="11" t="s">
        <v>353</v>
      </c>
      <c r="M118" s="11" t="s">
        <v>261</v>
      </c>
      <c r="N118" s="11" t="s">
        <v>261</v>
      </c>
      <c r="O118" s="11" t="s">
        <v>261</v>
      </c>
      <c r="P118" s="11" t="s">
        <v>261</v>
      </c>
      <c r="Q118" s="11" t="s">
        <v>261</v>
      </c>
      <c r="R118" s="11" t="s">
        <v>261</v>
      </c>
      <c r="S118" s="11" t="s">
        <v>231</v>
      </c>
      <c r="T118" s="11" t="s">
        <v>797</v>
      </c>
      <c r="U118" s="11" t="s">
        <v>561</v>
      </c>
      <c r="V118" s="11">
        <v>1</v>
      </c>
      <c r="W118" s="11" t="s">
        <v>20</v>
      </c>
      <c r="X118" s="11" t="s">
        <v>261</v>
      </c>
      <c r="Y118" s="11" t="s">
        <v>390</v>
      </c>
      <c r="Z118" s="11" t="s">
        <v>389</v>
      </c>
      <c r="AA118" s="11" t="s">
        <v>28</v>
      </c>
      <c r="AB118" s="11" t="s">
        <v>261</v>
      </c>
      <c r="AC118" s="11" t="s">
        <v>261</v>
      </c>
      <c r="AD118" s="11" t="s">
        <v>551</v>
      </c>
      <c r="AE118" s="12" t="s">
        <v>261</v>
      </c>
      <c r="AF118" s="11" t="s">
        <v>261</v>
      </c>
    </row>
    <row r="119" spans="1:32" ht="30" hidden="1" x14ac:dyDescent="0.25">
      <c r="A119" s="11">
        <v>1</v>
      </c>
      <c r="B119" s="11">
        <v>202976</v>
      </c>
      <c r="C119" s="11" t="s">
        <v>315</v>
      </c>
      <c r="D119" s="11" t="str">
        <f>MID(Table22[[#This Row],[تاريخ تاييد]],1,7)</f>
        <v>1403/07</v>
      </c>
      <c r="E119" s="11" t="str">
        <f>MID(Table22[[#This Row],[تاريخ تاييد]],6,2)</f>
        <v>07</v>
      </c>
      <c r="F119" s="11" t="s">
        <v>618</v>
      </c>
      <c r="G119" s="11" t="str">
        <f>VLOOKUP(Table22[[#This Row],[شماره فني]],Sheet7!A:C,3,0)</f>
        <v>جلو آمپر</v>
      </c>
      <c r="H119" s="11" t="str">
        <f>VLOOKUP(Table22[[#This Row],[شماره فني]],Sheet7!A:B,2,0)</f>
        <v>جلو آمپر تارا دستی</v>
      </c>
      <c r="I119" s="11" t="s">
        <v>332</v>
      </c>
      <c r="J119" s="11" t="s">
        <v>334</v>
      </c>
      <c r="K119" s="11" t="s">
        <v>23</v>
      </c>
      <c r="L119" s="11" t="s">
        <v>412</v>
      </c>
      <c r="M119" s="11" t="s">
        <v>261</v>
      </c>
      <c r="N119" s="11" t="s">
        <v>261</v>
      </c>
      <c r="O119" s="11" t="s">
        <v>261</v>
      </c>
      <c r="P119" s="11" t="s">
        <v>261</v>
      </c>
      <c r="Q119" s="11" t="s">
        <v>261</v>
      </c>
      <c r="R119" s="11" t="s">
        <v>261</v>
      </c>
      <c r="S119" s="11" t="s">
        <v>261</v>
      </c>
      <c r="T119" s="11" t="s">
        <v>570</v>
      </c>
      <c r="U119" s="11" t="s">
        <v>570</v>
      </c>
      <c r="V119" s="11">
        <v>1</v>
      </c>
      <c r="W119" s="11" t="s">
        <v>97</v>
      </c>
      <c r="X119" s="11" t="s">
        <v>261</v>
      </c>
      <c r="Y119" s="11" t="s">
        <v>390</v>
      </c>
      <c r="Z119" s="11" t="s">
        <v>389</v>
      </c>
      <c r="AA119" s="11" t="s">
        <v>583</v>
      </c>
      <c r="AB119" s="11" t="s">
        <v>261</v>
      </c>
      <c r="AC119" s="11" t="s">
        <v>261</v>
      </c>
      <c r="AD119" s="11" t="s">
        <v>551</v>
      </c>
      <c r="AE119" s="12" t="s">
        <v>261</v>
      </c>
      <c r="AF119" s="11" t="s">
        <v>261</v>
      </c>
    </row>
    <row r="120" spans="1:32" ht="90" hidden="1" x14ac:dyDescent="0.25">
      <c r="A120" s="11">
        <v>1</v>
      </c>
      <c r="B120" s="11">
        <v>202980</v>
      </c>
      <c r="C120" s="11" t="s">
        <v>315</v>
      </c>
      <c r="D120" s="11" t="str">
        <f>MID(Table22[[#This Row],[تاريخ تاييد]],1,7)</f>
        <v>1403/07</v>
      </c>
      <c r="E120" s="11" t="str">
        <f>MID(Table22[[#This Row],[تاريخ تاييد]],6,2)</f>
        <v>07</v>
      </c>
      <c r="F120" s="11" t="s">
        <v>618</v>
      </c>
      <c r="G120" s="11" t="str">
        <f>VLOOKUP(Table22[[#This Row],[شماره فني]],Sheet7!A:C,3,0)</f>
        <v>NOD</v>
      </c>
      <c r="H120" s="11" t="str">
        <f>VLOOKUP(Table22[[#This Row],[شماره فني]],Sheet7!A:B,2,0)</f>
        <v>NBCM DENA</v>
      </c>
      <c r="I120" s="11" t="s">
        <v>333</v>
      </c>
      <c r="J120" s="11" t="s">
        <v>336</v>
      </c>
      <c r="K120" s="11" t="s">
        <v>261</v>
      </c>
      <c r="L120" s="11" t="s">
        <v>261</v>
      </c>
      <c r="M120" s="11" t="s">
        <v>261</v>
      </c>
      <c r="N120" s="11" t="s">
        <v>261</v>
      </c>
      <c r="O120" s="11" t="s">
        <v>261</v>
      </c>
      <c r="P120" s="11" t="s">
        <v>261</v>
      </c>
      <c r="Q120" s="11" t="s">
        <v>785</v>
      </c>
      <c r="R120" s="11" t="s">
        <v>261</v>
      </c>
      <c r="S120" s="11" t="s">
        <v>261</v>
      </c>
      <c r="T120" s="11" t="s">
        <v>552</v>
      </c>
      <c r="U120" s="11" t="s">
        <v>786</v>
      </c>
      <c r="V120" s="11">
        <v>1</v>
      </c>
      <c r="W120" s="11" t="s">
        <v>16</v>
      </c>
      <c r="X120" s="11" t="s">
        <v>261</v>
      </c>
      <c r="Y120" s="11" t="s">
        <v>382</v>
      </c>
      <c r="Z120" s="11" t="s">
        <v>66</v>
      </c>
      <c r="AA120" s="11" t="s">
        <v>583</v>
      </c>
      <c r="AB120" s="11" t="s">
        <v>261</v>
      </c>
      <c r="AC120" s="11" t="s">
        <v>261</v>
      </c>
      <c r="AD120" s="11" t="s">
        <v>551</v>
      </c>
      <c r="AE120" s="12" t="s">
        <v>261</v>
      </c>
      <c r="AF120" s="11" t="s">
        <v>261</v>
      </c>
    </row>
    <row r="121" spans="1:32" ht="30" hidden="1" x14ac:dyDescent="0.25">
      <c r="A121" s="11">
        <v>1</v>
      </c>
      <c r="B121" s="11">
        <v>203261</v>
      </c>
      <c r="C121" s="11" t="s">
        <v>362</v>
      </c>
      <c r="D121" s="11" t="str">
        <f>MID(Table22[[#This Row],[تاريخ تاييد]],1,7)</f>
        <v>1403/07</v>
      </c>
      <c r="E121" s="11" t="str">
        <f>MID(Table22[[#This Row],[تاريخ تاييد]],6,2)</f>
        <v>07</v>
      </c>
      <c r="F121" s="11" t="s">
        <v>618</v>
      </c>
      <c r="G121" s="11" t="str">
        <f>VLOOKUP(Table22[[#This Row],[شماره فني]],Sheet7!A:C,3,0)</f>
        <v>NOD</v>
      </c>
      <c r="H121" s="11" t="str">
        <f>VLOOKUP(Table22[[#This Row],[شماره فني]],Sheet7!A:B,2,0)</f>
        <v>NBCM TARA SAL</v>
      </c>
      <c r="I121" s="11" t="s">
        <v>363</v>
      </c>
      <c r="J121" s="11" t="s">
        <v>726</v>
      </c>
      <c r="K121" s="11" t="s">
        <v>22</v>
      </c>
      <c r="L121" s="11" t="s">
        <v>417</v>
      </c>
      <c r="M121" s="11" t="s">
        <v>261</v>
      </c>
      <c r="N121" s="11" t="s">
        <v>261</v>
      </c>
      <c r="O121" s="11" t="s">
        <v>261</v>
      </c>
      <c r="P121" s="11" t="s">
        <v>261</v>
      </c>
      <c r="Q121" s="11" t="s">
        <v>74</v>
      </c>
      <c r="R121" s="11" t="s">
        <v>261</v>
      </c>
      <c r="S121" s="11" t="s">
        <v>802</v>
      </c>
      <c r="T121" s="11" t="s">
        <v>797</v>
      </c>
      <c r="U121" s="11" t="s">
        <v>561</v>
      </c>
      <c r="V121" s="11">
        <v>1</v>
      </c>
      <c r="W121" s="11" t="s">
        <v>95</v>
      </c>
      <c r="X121" s="11" t="s">
        <v>261</v>
      </c>
      <c r="Y121" s="11" t="s">
        <v>382</v>
      </c>
      <c r="Z121" s="11" t="s">
        <v>66</v>
      </c>
      <c r="AA121" s="11" t="s">
        <v>28</v>
      </c>
      <c r="AB121" s="11" t="s">
        <v>261</v>
      </c>
      <c r="AC121" s="11" t="s">
        <v>261</v>
      </c>
      <c r="AD121" s="11" t="s">
        <v>551</v>
      </c>
      <c r="AE121" s="12" t="s">
        <v>261</v>
      </c>
      <c r="AF121" s="11" t="s">
        <v>261</v>
      </c>
    </row>
    <row r="122" spans="1:32" ht="30" hidden="1" x14ac:dyDescent="0.25">
      <c r="A122" s="11">
        <v>1</v>
      </c>
      <c r="B122" s="11">
        <v>203273</v>
      </c>
      <c r="C122" s="11" t="s">
        <v>362</v>
      </c>
      <c r="D122" s="11" t="str">
        <f>MID(Table22[[#This Row],[تاريخ تاييد]],1,7)</f>
        <v>1403/07</v>
      </c>
      <c r="E122" s="11" t="str">
        <f>MID(Table22[[#This Row],[تاريخ تاييد]],6,2)</f>
        <v>07</v>
      </c>
      <c r="F122" s="11" t="s">
        <v>618</v>
      </c>
      <c r="G122" s="11" t="str">
        <f>VLOOKUP(Table22[[#This Row],[شماره فني]],Sheet7!A:C,3,0)</f>
        <v>جلو آمپر</v>
      </c>
      <c r="H122" s="11" t="str">
        <f>VLOOKUP(Table22[[#This Row],[شماره فني]],Sheet7!A:B,2,0)</f>
        <v>جلو آمپر207 اتوماتیک85 گانه</v>
      </c>
      <c r="I122" s="11" t="s">
        <v>364</v>
      </c>
      <c r="J122" s="11" t="s">
        <v>233</v>
      </c>
      <c r="K122" s="11" t="s">
        <v>22</v>
      </c>
      <c r="L122" s="11" t="s">
        <v>412</v>
      </c>
      <c r="M122" s="11" t="s">
        <v>261</v>
      </c>
      <c r="N122" s="11" t="s">
        <v>261</v>
      </c>
      <c r="O122" s="11" t="s">
        <v>261</v>
      </c>
      <c r="P122" s="11" t="s">
        <v>261</v>
      </c>
      <c r="Q122" s="11" t="s">
        <v>168</v>
      </c>
      <c r="R122" s="11" t="s">
        <v>416</v>
      </c>
      <c r="S122" s="11" t="s">
        <v>803</v>
      </c>
      <c r="T122" s="11" t="s">
        <v>797</v>
      </c>
      <c r="U122" s="11" t="s">
        <v>561</v>
      </c>
      <c r="V122" s="11">
        <v>1</v>
      </c>
      <c r="W122" s="11" t="s">
        <v>31</v>
      </c>
      <c r="X122" s="11" t="s">
        <v>261</v>
      </c>
      <c r="Y122" s="11" t="s">
        <v>382</v>
      </c>
      <c r="Z122" s="11" t="s">
        <v>66</v>
      </c>
      <c r="AA122" s="11" t="s">
        <v>28</v>
      </c>
      <c r="AB122" s="11" t="s">
        <v>261</v>
      </c>
      <c r="AC122" s="11" t="s">
        <v>261</v>
      </c>
      <c r="AD122" s="11" t="s">
        <v>551</v>
      </c>
      <c r="AE122" s="12" t="s">
        <v>261</v>
      </c>
      <c r="AF122" s="11" t="s">
        <v>261</v>
      </c>
    </row>
    <row r="123" spans="1:32" ht="30" hidden="1" x14ac:dyDescent="0.25">
      <c r="A123" s="11">
        <v>1</v>
      </c>
      <c r="B123" s="11">
        <v>203284</v>
      </c>
      <c r="C123" s="11" t="s">
        <v>362</v>
      </c>
      <c r="D123" s="11" t="str">
        <f>MID(Table22[[#This Row],[تاريخ تاييد]],1,7)</f>
        <v>1403/07</v>
      </c>
      <c r="E123" s="11" t="str">
        <f>MID(Table22[[#This Row],[تاريخ تاييد]],6,2)</f>
        <v>07</v>
      </c>
      <c r="F123" s="11" t="s">
        <v>618</v>
      </c>
      <c r="G123" s="11" t="str">
        <f>VLOOKUP(Table22[[#This Row],[شماره فني]],Sheet7!A:C,3,0)</f>
        <v>جلو آمپر</v>
      </c>
      <c r="H123" s="11" t="str">
        <f>VLOOKUP(Table22[[#This Row],[شماره فني]],Sheet7!A:B,2,0)</f>
        <v>جلو آمپر دنا ST</v>
      </c>
      <c r="I123" s="11" t="s">
        <v>365</v>
      </c>
      <c r="J123" s="11" t="s">
        <v>729</v>
      </c>
      <c r="K123" s="11" t="s">
        <v>23</v>
      </c>
      <c r="L123" s="11" t="s">
        <v>412</v>
      </c>
      <c r="M123" s="11" t="s">
        <v>261</v>
      </c>
      <c r="N123" s="11" t="s">
        <v>261</v>
      </c>
      <c r="O123" s="11" t="s">
        <v>261</v>
      </c>
      <c r="P123" s="11" t="s">
        <v>261</v>
      </c>
      <c r="Q123" s="11" t="s">
        <v>418</v>
      </c>
      <c r="R123" s="11" t="s">
        <v>639</v>
      </c>
      <c r="S123" s="11" t="s">
        <v>817</v>
      </c>
      <c r="T123" s="11" t="s">
        <v>809</v>
      </c>
      <c r="U123" s="11" t="s">
        <v>564</v>
      </c>
      <c r="V123" s="11">
        <v>1</v>
      </c>
      <c r="W123" s="11" t="s">
        <v>96</v>
      </c>
      <c r="X123" s="11" t="s">
        <v>261</v>
      </c>
      <c r="Y123" s="11" t="s">
        <v>392</v>
      </c>
      <c r="Z123" s="11" t="s">
        <v>66</v>
      </c>
      <c r="AA123" s="11" t="s">
        <v>29</v>
      </c>
      <c r="AB123" s="11" t="s">
        <v>261</v>
      </c>
      <c r="AC123" s="11" t="s">
        <v>261</v>
      </c>
      <c r="AD123" s="11" t="s">
        <v>551</v>
      </c>
      <c r="AE123" s="12" t="s">
        <v>261</v>
      </c>
      <c r="AF123" s="11" t="s">
        <v>261</v>
      </c>
    </row>
    <row r="124" spans="1:32" ht="30" hidden="1" x14ac:dyDescent="0.25">
      <c r="A124" s="11">
        <v>1</v>
      </c>
      <c r="B124" s="11">
        <v>203380</v>
      </c>
      <c r="C124" s="11" t="s">
        <v>366</v>
      </c>
      <c r="D124" s="11" t="str">
        <f>MID(Table22[[#This Row],[تاريخ تاييد]],1,7)</f>
        <v>1403/07</v>
      </c>
      <c r="E124" s="11" t="str">
        <f>MID(Table22[[#This Row],[تاريخ تاييد]],6,2)</f>
        <v>07</v>
      </c>
      <c r="F124" s="11" t="str">
        <f>LEFT(Table22[[#This Row],[تاريخ تاييد]],4)</f>
        <v>1403</v>
      </c>
      <c r="G124" s="11" t="str">
        <f>VLOOKUP(Table22[[#This Row],[شماره فني]],Sheet7!A:C,3,0)</f>
        <v>جلو آمپر</v>
      </c>
      <c r="H124" s="11" t="str">
        <f>VLOOKUP(Table22[[#This Row],[شماره فني]],Sheet7!A:B,2,0)</f>
        <v>جلو آمپر207  معمولی85 گانه</v>
      </c>
      <c r="I124" s="11" t="s">
        <v>367</v>
      </c>
      <c r="J124" s="11" t="s">
        <v>335</v>
      </c>
      <c r="K124" s="11" t="s">
        <v>22</v>
      </c>
      <c r="L124" s="11" t="s">
        <v>412</v>
      </c>
      <c r="M124" s="11" t="s">
        <v>261</v>
      </c>
      <c r="N124" s="11" t="s">
        <v>261</v>
      </c>
      <c r="O124" s="11" t="s">
        <v>261</v>
      </c>
      <c r="P124" s="11" t="s">
        <v>261</v>
      </c>
      <c r="Q124" s="11" t="s">
        <v>964</v>
      </c>
      <c r="R124" s="11" t="s">
        <v>413</v>
      </c>
      <c r="S124" s="11" t="s">
        <v>801</v>
      </c>
      <c r="T124" s="11" t="s">
        <v>797</v>
      </c>
      <c r="U124" s="11" t="s">
        <v>561</v>
      </c>
      <c r="V124" s="11">
        <v>1</v>
      </c>
      <c r="W124" s="11" t="s">
        <v>30</v>
      </c>
      <c r="X124" s="11" t="s">
        <v>261</v>
      </c>
      <c r="Y124" s="11" t="s">
        <v>392</v>
      </c>
      <c r="Z124" s="11" t="s">
        <v>66</v>
      </c>
      <c r="AA124" s="11" t="s">
        <v>28</v>
      </c>
      <c r="AB124" s="11" t="s">
        <v>261</v>
      </c>
      <c r="AC124" s="11" t="s">
        <v>261</v>
      </c>
      <c r="AD124" s="11" t="s">
        <v>551</v>
      </c>
      <c r="AE124" s="12" t="s">
        <v>965</v>
      </c>
      <c r="AF124" s="11" t="s">
        <v>261</v>
      </c>
    </row>
    <row r="125" spans="1:32" ht="30" hidden="1" x14ac:dyDescent="0.25">
      <c r="A125" s="11">
        <v>1</v>
      </c>
      <c r="B125" s="11">
        <v>203385</v>
      </c>
      <c r="C125" s="11" t="s">
        <v>366</v>
      </c>
      <c r="D125" s="11" t="str">
        <f>MID(Table22[[#This Row],[تاريخ تاييد]],1,7)</f>
        <v>1403/07</v>
      </c>
      <c r="E125" s="11" t="str">
        <f>MID(Table22[[#This Row],[تاريخ تاييد]],6,2)</f>
        <v>07</v>
      </c>
      <c r="F125" s="11" t="str">
        <f>LEFT(Table22[[#This Row],[تاريخ تاييد]],4)</f>
        <v>1403</v>
      </c>
      <c r="G125" s="11" t="str">
        <f>VLOOKUP(Table22[[#This Row],[شماره فني]],Sheet7!A:C,3,0)</f>
        <v>NOD</v>
      </c>
      <c r="H125" s="11" t="str">
        <f>VLOOKUP(Table22[[#This Row],[شماره فني]],Sheet7!A:B,2,0)</f>
        <v>NBCM TARA SAL</v>
      </c>
      <c r="I125" s="11" t="s">
        <v>368</v>
      </c>
      <c r="J125" s="11" t="s">
        <v>336</v>
      </c>
      <c r="K125" s="11" t="s">
        <v>261</v>
      </c>
      <c r="L125" s="11" t="s">
        <v>261</v>
      </c>
      <c r="M125" s="11" t="s">
        <v>261</v>
      </c>
      <c r="N125" s="11" t="s">
        <v>261</v>
      </c>
      <c r="O125" s="11" t="s">
        <v>261</v>
      </c>
      <c r="P125" s="11" t="s">
        <v>261</v>
      </c>
      <c r="Q125" s="11" t="s">
        <v>261</v>
      </c>
      <c r="R125" s="11" t="s">
        <v>261</v>
      </c>
      <c r="S125" s="11" t="s">
        <v>261</v>
      </c>
      <c r="T125" s="11" t="s">
        <v>552</v>
      </c>
      <c r="U125" s="11" t="s">
        <v>552</v>
      </c>
      <c r="V125" s="11">
        <v>1</v>
      </c>
      <c r="W125" s="11" t="s">
        <v>95</v>
      </c>
      <c r="X125" s="11" t="s">
        <v>261</v>
      </c>
      <c r="Y125" s="11" t="s">
        <v>261</v>
      </c>
      <c r="Z125" s="11" t="s">
        <v>261</v>
      </c>
      <c r="AA125" s="11" t="s">
        <v>583</v>
      </c>
      <c r="AB125" s="11" t="s">
        <v>261</v>
      </c>
      <c r="AC125" s="11" t="s">
        <v>261</v>
      </c>
      <c r="AD125" s="11" t="s">
        <v>552</v>
      </c>
      <c r="AE125" s="12" t="s">
        <v>261</v>
      </c>
      <c r="AF125" s="11" t="s">
        <v>261</v>
      </c>
    </row>
    <row r="126" spans="1:32" ht="45" hidden="1" x14ac:dyDescent="0.25">
      <c r="A126" s="11">
        <v>1</v>
      </c>
      <c r="B126" s="11">
        <v>203468</v>
      </c>
      <c r="C126" s="11" t="s">
        <v>369</v>
      </c>
      <c r="D126" s="11" t="str">
        <f>MID(Table22[[#This Row],[تاريخ تاييد]],1,7)</f>
        <v>1403/07</v>
      </c>
      <c r="E126" s="11" t="str">
        <f>MID(Table22[[#This Row],[تاريخ تاييد]],6,2)</f>
        <v>07</v>
      </c>
      <c r="F126" s="11" t="str">
        <f>LEFT(Table22[[#This Row],[تاريخ تاييد]],4)</f>
        <v>1403</v>
      </c>
      <c r="G126" s="11" t="str">
        <f>VLOOKUP(Table22[[#This Row],[شماره فني]],Sheet7!A:C,3,0)</f>
        <v>کلید شیشه بالابر</v>
      </c>
      <c r="H126" s="11" t="str">
        <f>VLOOKUP(Table22[[#This Row],[شماره فني]],Sheet7!A:B,2,0)</f>
        <v>کلید شیشه بالابر عقب چپ سورن</v>
      </c>
      <c r="I126" s="11" t="s">
        <v>370</v>
      </c>
      <c r="J126" s="11" t="s">
        <v>723</v>
      </c>
      <c r="K126" s="11" t="s">
        <v>261</v>
      </c>
      <c r="L126" s="11" t="s">
        <v>261</v>
      </c>
      <c r="M126" s="11" t="s">
        <v>261</v>
      </c>
      <c r="N126" s="11" t="s">
        <v>261</v>
      </c>
      <c r="O126" s="11" t="s">
        <v>261</v>
      </c>
      <c r="P126" s="11" t="s">
        <v>261</v>
      </c>
      <c r="Q126" s="11" t="s">
        <v>961</v>
      </c>
      <c r="R126" s="11" t="s">
        <v>261</v>
      </c>
      <c r="S126" s="11" t="s">
        <v>261</v>
      </c>
      <c r="T126" s="11" t="s">
        <v>552</v>
      </c>
      <c r="U126" s="11" t="s">
        <v>784</v>
      </c>
      <c r="V126" s="11">
        <v>5</v>
      </c>
      <c r="W126" s="11" t="s">
        <v>287</v>
      </c>
      <c r="X126" s="11" t="s">
        <v>261</v>
      </c>
      <c r="Y126" s="11" t="s">
        <v>261</v>
      </c>
      <c r="Z126" s="11" t="s">
        <v>261</v>
      </c>
      <c r="AA126" s="11" t="s">
        <v>583</v>
      </c>
      <c r="AB126" s="11" t="s">
        <v>261</v>
      </c>
      <c r="AC126" s="11" t="s">
        <v>261</v>
      </c>
      <c r="AD126" s="11" t="s">
        <v>551</v>
      </c>
      <c r="AE126" s="12" t="s">
        <v>261</v>
      </c>
      <c r="AF126" s="11" t="s">
        <v>261</v>
      </c>
    </row>
    <row r="127" spans="1:32" ht="30" hidden="1" x14ac:dyDescent="0.25">
      <c r="A127" s="11">
        <v>1</v>
      </c>
      <c r="B127" s="11">
        <v>203534</v>
      </c>
      <c r="C127" s="11" t="s">
        <v>371</v>
      </c>
      <c r="D127" s="11" t="str">
        <f>MID(Table22[[#This Row],[تاريخ تاييد]],1,7)</f>
        <v>1403/07</v>
      </c>
      <c r="E127" s="11" t="str">
        <f>MID(Table22[[#This Row],[تاريخ تاييد]],6,2)</f>
        <v>07</v>
      </c>
      <c r="F127" s="11" t="str">
        <f>LEFT(Table22[[#This Row],[تاريخ تاييد]],4)</f>
        <v>1403</v>
      </c>
      <c r="G127" s="11" t="str">
        <f>VLOOKUP(Table22[[#This Row],[شماره فني]],Sheet7!A:C,3,0)</f>
        <v>NOD</v>
      </c>
      <c r="H127" s="11" t="str">
        <f>VLOOKUP(Table22[[#This Row],[شماره فني]],Sheet7!A:B,2,0)</f>
        <v>NBCM DENA</v>
      </c>
      <c r="I127" s="11" t="s">
        <v>372</v>
      </c>
      <c r="J127" s="11" t="s">
        <v>485</v>
      </c>
      <c r="K127" s="11" t="s">
        <v>22</v>
      </c>
      <c r="L127" s="11" t="s">
        <v>392</v>
      </c>
      <c r="M127" s="11" t="s">
        <v>261</v>
      </c>
      <c r="N127" s="11" t="s">
        <v>261</v>
      </c>
      <c r="O127" s="11" t="s">
        <v>261</v>
      </c>
      <c r="P127" s="11" t="s">
        <v>261</v>
      </c>
      <c r="Q127" s="11" t="s">
        <v>414</v>
      </c>
      <c r="R127" s="11" t="s">
        <v>415</v>
      </c>
      <c r="S127" s="11" t="s">
        <v>800</v>
      </c>
      <c r="T127" s="11" t="s">
        <v>797</v>
      </c>
      <c r="U127" s="11" t="s">
        <v>561</v>
      </c>
      <c r="V127" s="11">
        <v>2</v>
      </c>
      <c r="W127" s="11" t="s">
        <v>16</v>
      </c>
      <c r="X127" s="11" t="s">
        <v>261</v>
      </c>
      <c r="Y127" s="11" t="s">
        <v>392</v>
      </c>
      <c r="Z127" s="11" t="s">
        <v>66</v>
      </c>
      <c r="AA127" s="11" t="s">
        <v>28</v>
      </c>
      <c r="AB127" s="11" t="s">
        <v>261</v>
      </c>
      <c r="AC127" s="11" t="s">
        <v>261</v>
      </c>
      <c r="AD127" s="11" t="s">
        <v>551</v>
      </c>
      <c r="AE127" s="12" t="s">
        <v>261</v>
      </c>
      <c r="AF127" s="11" t="s">
        <v>261</v>
      </c>
    </row>
    <row r="128" spans="1:32" ht="30" hidden="1" x14ac:dyDescent="0.25">
      <c r="A128" s="11">
        <v>1</v>
      </c>
      <c r="B128" s="11">
        <v>203553</v>
      </c>
      <c r="C128" s="11" t="s">
        <v>371</v>
      </c>
      <c r="D128" s="11" t="str">
        <f>MID(Table22[[#This Row],[تاريخ تاييد]],1,7)</f>
        <v>1403/07</v>
      </c>
      <c r="E128" s="11" t="str">
        <f>MID(Table22[[#This Row],[تاريخ تاييد]],6,2)</f>
        <v>07</v>
      </c>
      <c r="F128" s="11" t="str">
        <f>LEFT(Table22[[#This Row],[تاريخ تاييد]],4)</f>
        <v>1403</v>
      </c>
      <c r="G128" s="11" t="str">
        <f>VLOOKUP(Table22[[#This Row],[شماره فني]],Sheet7!A:C,3,0)</f>
        <v>کلید شیشه بالابر</v>
      </c>
      <c r="H128" s="11" t="str">
        <f>VLOOKUP(Table22[[#This Row],[شماره فني]],Sheet7!A:B,2,0)</f>
        <v>کلید شیشه بالابر جلو چپ دنا</v>
      </c>
      <c r="I128" s="11" t="s">
        <v>373</v>
      </c>
      <c r="J128" s="11" t="s">
        <v>334</v>
      </c>
      <c r="K128" s="11" t="s">
        <v>22</v>
      </c>
      <c r="L128" s="11" t="s">
        <v>392</v>
      </c>
      <c r="M128" s="11" t="s">
        <v>261</v>
      </c>
      <c r="N128" s="11" t="s">
        <v>261</v>
      </c>
      <c r="O128" s="11" t="s">
        <v>261</v>
      </c>
      <c r="P128" s="11" t="s">
        <v>261</v>
      </c>
      <c r="Q128" s="11" t="s">
        <v>787</v>
      </c>
      <c r="R128" s="11" t="s">
        <v>798</v>
      </c>
      <c r="S128" s="11" t="s">
        <v>981</v>
      </c>
      <c r="T128" s="11" t="s">
        <v>1178</v>
      </c>
      <c r="U128" s="11" t="s">
        <v>788</v>
      </c>
      <c r="V128" s="11">
        <v>1</v>
      </c>
      <c r="W128" s="11" t="s">
        <v>387</v>
      </c>
      <c r="X128" s="11" t="s">
        <v>261</v>
      </c>
      <c r="Y128" s="11" t="s">
        <v>382</v>
      </c>
      <c r="Z128" s="11" t="s">
        <v>66</v>
      </c>
      <c r="AA128" s="11" t="s">
        <v>27</v>
      </c>
      <c r="AB128" s="11" t="s">
        <v>987</v>
      </c>
      <c r="AC128" s="11" t="s">
        <v>261</v>
      </c>
      <c r="AD128" s="11" t="s">
        <v>551</v>
      </c>
      <c r="AE128" s="12" t="s">
        <v>261</v>
      </c>
      <c r="AF128" s="11" t="s">
        <v>261</v>
      </c>
    </row>
    <row r="129" spans="1:32" ht="45" hidden="1" x14ac:dyDescent="0.25">
      <c r="A129" s="11">
        <v>1</v>
      </c>
      <c r="B129" s="11">
        <v>203619</v>
      </c>
      <c r="C129" s="11" t="s">
        <v>374</v>
      </c>
      <c r="D129" s="11" t="str">
        <f>MID(Table22[[#This Row],[تاريخ تاييد]],1,7)</f>
        <v>1403/08</v>
      </c>
      <c r="E129" s="11" t="str">
        <f>MID(Table22[[#This Row],[تاريخ تاييد]],6,2)</f>
        <v>08</v>
      </c>
      <c r="F129" s="11" t="str">
        <f>LEFT(Table22[[#This Row],[تاريخ تاييد]],4)</f>
        <v>1403</v>
      </c>
      <c r="G129" s="11" t="str">
        <f>VLOOKUP(Table22[[#This Row],[شماره فني]],Sheet7!A:C,3,0)</f>
        <v>کلید شیشه بالابر</v>
      </c>
      <c r="H129" s="11" t="str">
        <f>VLOOKUP(Table22[[#This Row],[شماره فني]],Sheet7!A:B,2,0)</f>
        <v>کلید شیشه بالابر عقب راست سورن</v>
      </c>
      <c r="I129" s="11" t="s">
        <v>375</v>
      </c>
      <c r="J129" s="11" t="s">
        <v>723</v>
      </c>
      <c r="K129" s="11" t="s">
        <v>261</v>
      </c>
      <c r="L129" s="11" t="s">
        <v>261</v>
      </c>
      <c r="M129" s="11" t="s">
        <v>261</v>
      </c>
      <c r="N129" s="11" t="s">
        <v>261</v>
      </c>
      <c r="O129" s="11" t="s">
        <v>261</v>
      </c>
      <c r="P129" s="11" t="s">
        <v>261</v>
      </c>
      <c r="Q129" s="11" t="s">
        <v>961</v>
      </c>
      <c r="R129" s="11" t="s">
        <v>261</v>
      </c>
      <c r="S129" s="11" t="s">
        <v>261</v>
      </c>
      <c r="T129" s="11" t="s">
        <v>552</v>
      </c>
      <c r="U129" s="11" t="s">
        <v>784</v>
      </c>
      <c r="V129" s="11">
        <v>3</v>
      </c>
      <c r="W129" s="11" t="s">
        <v>388</v>
      </c>
      <c r="X129" s="11" t="s">
        <v>261</v>
      </c>
      <c r="Y129" s="11" t="s">
        <v>261</v>
      </c>
      <c r="Z129" s="11" t="s">
        <v>261</v>
      </c>
      <c r="AA129" s="11" t="s">
        <v>583</v>
      </c>
      <c r="AB129" s="11" t="s">
        <v>261</v>
      </c>
      <c r="AC129" s="11" t="s">
        <v>261</v>
      </c>
      <c r="AD129" s="11" t="s">
        <v>551</v>
      </c>
      <c r="AE129" s="12" t="s">
        <v>261</v>
      </c>
      <c r="AF129" s="11" t="s">
        <v>261</v>
      </c>
    </row>
    <row r="130" spans="1:32" ht="30" hidden="1" x14ac:dyDescent="0.25">
      <c r="A130" s="11">
        <v>1</v>
      </c>
      <c r="B130" s="11">
        <v>203749</v>
      </c>
      <c r="C130" s="11" t="s">
        <v>376</v>
      </c>
      <c r="D130" s="11" t="str">
        <f>MID(Table22[[#This Row],[تاريخ تاييد]],1,7)</f>
        <v>1403/08</v>
      </c>
      <c r="E130" s="11" t="str">
        <f>MID(Table22[[#This Row],[تاريخ تاييد]],6,2)</f>
        <v>08</v>
      </c>
      <c r="F130" s="11" t="str">
        <f>LEFT(Table22[[#This Row],[تاريخ تاييد]],4)</f>
        <v>1403</v>
      </c>
      <c r="G130" s="11" t="str">
        <f>VLOOKUP(Table22[[#This Row],[شماره فني]],Sheet7!A:C,3,0)</f>
        <v>جلو آمپر</v>
      </c>
      <c r="H130" s="11" t="str">
        <f>VLOOKUP(Table22[[#This Row],[شماره فني]],Sheet7!A:B,2,0)</f>
        <v>جلو آمپر تارا اتوماتیک</v>
      </c>
      <c r="I130" s="11" t="s">
        <v>377</v>
      </c>
      <c r="J130" s="11" t="s">
        <v>233</v>
      </c>
      <c r="K130" s="11" t="s">
        <v>22</v>
      </c>
      <c r="L130" s="11" t="s">
        <v>420</v>
      </c>
      <c r="M130" s="11" t="s">
        <v>261</v>
      </c>
      <c r="N130" s="11" t="s">
        <v>261</v>
      </c>
      <c r="O130" s="11" t="s">
        <v>261</v>
      </c>
      <c r="P130" s="11" t="s">
        <v>261</v>
      </c>
      <c r="Q130" s="11" t="s">
        <v>425</v>
      </c>
      <c r="R130" s="11" t="s">
        <v>573</v>
      </c>
      <c r="S130" s="11" t="s">
        <v>233</v>
      </c>
      <c r="T130" s="11" t="s">
        <v>797</v>
      </c>
      <c r="U130" s="11" t="s">
        <v>574</v>
      </c>
      <c r="V130" s="11">
        <v>1</v>
      </c>
      <c r="W130" s="11" t="s">
        <v>20</v>
      </c>
      <c r="X130" s="11" t="s">
        <v>261</v>
      </c>
      <c r="Y130" s="11" t="s">
        <v>420</v>
      </c>
      <c r="Z130" s="11" t="s">
        <v>66</v>
      </c>
      <c r="AA130" s="11" t="s">
        <v>26</v>
      </c>
      <c r="AB130" s="11" t="s">
        <v>261</v>
      </c>
      <c r="AC130" s="11" t="s">
        <v>424</v>
      </c>
      <c r="AD130" s="11" t="s">
        <v>551</v>
      </c>
      <c r="AE130" s="12" t="s">
        <v>261</v>
      </c>
      <c r="AF130" s="11" t="s">
        <v>261</v>
      </c>
    </row>
    <row r="131" spans="1:32" ht="30" hidden="1" x14ac:dyDescent="0.25">
      <c r="A131" s="11">
        <v>1</v>
      </c>
      <c r="B131" s="11">
        <v>203785</v>
      </c>
      <c r="C131" s="11" t="s">
        <v>376</v>
      </c>
      <c r="D131" s="11" t="str">
        <f>MID(Table22[[#This Row],[تاريخ تاييد]],1,7)</f>
        <v>1403/08</v>
      </c>
      <c r="E131" s="11" t="str">
        <f>MID(Table22[[#This Row],[تاريخ تاييد]],6,2)</f>
        <v>08</v>
      </c>
      <c r="F131" s="11" t="str">
        <f>LEFT(Table22[[#This Row],[تاريخ تاييد]],4)</f>
        <v>1403</v>
      </c>
      <c r="G131" s="11" t="str">
        <f>VLOOKUP(Table22[[#This Row],[شماره فني]],Sheet7!A:C,3,0)</f>
        <v>کلید شیشه بالابر</v>
      </c>
      <c r="H131" s="11" t="str">
        <f>VLOOKUP(Table22[[#This Row],[شماره فني]],Sheet7!A:B,2,0)</f>
        <v>کلید شیشه بالابر جلو چپ سورن</v>
      </c>
      <c r="I131" s="11" t="s">
        <v>378</v>
      </c>
      <c r="J131" s="11" t="s">
        <v>723</v>
      </c>
      <c r="K131" s="11" t="s">
        <v>261</v>
      </c>
      <c r="L131" s="11" t="s">
        <v>261</v>
      </c>
      <c r="M131" s="11" t="s">
        <v>261</v>
      </c>
      <c r="N131" s="11" t="s">
        <v>261</v>
      </c>
      <c r="O131" s="11" t="s">
        <v>261</v>
      </c>
      <c r="P131" s="11" t="s">
        <v>261</v>
      </c>
      <c r="Q131" s="11" t="s">
        <v>426</v>
      </c>
      <c r="R131" s="11" t="s">
        <v>261</v>
      </c>
      <c r="S131" s="11" t="s">
        <v>825</v>
      </c>
      <c r="T131" s="11" t="s">
        <v>831</v>
      </c>
      <c r="U131" s="11" t="s">
        <v>561</v>
      </c>
      <c r="V131" s="11">
        <v>5</v>
      </c>
      <c r="W131" s="11" t="s">
        <v>306</v>
      </c>
      <c r="X131" s="11" t="s">
        <v>261</v>
      </c>
      <c r="Y131" s="11" t="s">
        <v>420</v>
      </c>
      <c r="Z131" s="11" t="s">
        <v>66</v>
      </c>
      <c r="AA131" s="11" t="s">
        <v>28</v>
      </c>
      <c r="AB131" s="11" t="s">
        <v>261</v>
      </c>
      <c r="AC131" s="11" t="s">
        <v>261</v>
      </c>
      <c r="AD131" s="11" t="s">
        <v>551</v>
      </c>
      <c r="AE131" s="12" t="s">
        <v>261</v>
      </c>
      <c r="AF131" s="11" t="s">
        <v>261</v>
      </c>
    </row>
    <row r="132" spans="1:32" ht="45" hidden="1" x14ac:dyDescent="0.25">
      <c r="A132" s="11">
        <v>1</v>
      </c>
      <c r="B132" s="11">
        <v>203803</v>
      </c>
      <c r="C132" s="11" t="s">
        <v>379</v>
      </c>
      <c r="D132" s="11" t="str">
        <f>MID(Table22[[#This Row],[تاريخ تاييد]],1,7)</f>
        <v>1403/08</v>
      </c>
      <c r="E132" s="11" t="str">
        <f>MID(Table22[[#This Row],[تاريخ تاييد]],6,2)</f>
        <v>08</v>
      </c>
      <c r="F132" s="11" t="str">
        <f>LEFT(Table22[[#This Row],[تاريخ تاييد]],4)</f>
        <v>1403</v>
      </c>
      <c r="G132" s="11" t="str">
        <f>VLOOKUP(Table22[[#This Row],[شماره فني]],Sheet7!A:C,3,0)</f>
        <v>NOD</v>
      </c>
      <c r="H132" s="11" t="str">
        <f>VLOOKUP(Table22[[#This Row],[شماره فني]],Sheet7!A:B,2,0)</f>
        <v>NBCM TARA SAL</v>
      </c>
      <c r="I132" s="11" t="s">
        <v>380</v>
      </c>
      <c r="J132" s="11" t="s">
        <v>727</v>
      </c>
      <c r="K132" s="11" t="s">
        <v>261</v>
      </c>
      <c r="L132" s="11" t="s">
        <v>261</v>
      </c>
      <c r="M132" s="11" t="s">
        <v>261</v>
      </c>
      <c r="N132" s="11" t="s">
        <v>261</v>
      </c>
      <c r="O132" s="11" t="s">
        <v>261</v>
      </c>
      <c r="P132" s="11" t="s">
        <v>261</v>
      </c>
      <c r="Q132" s="11" t="s">
        <v>961</v>
      </c>
      <c r="R132" s="11" t="s">
        <v>261</v>
      </c>
      <c r="S132" s="11" t="s">
        <v>261</v>
      </c>
      <c r="T132" s="11" t="s">
        <v>552</v>
      </c>
      <c r="U132" s="11" t="s">
        <v>784</v>
      </c>
      <c r="V132" s="11">
        <v>1</v>
      </c>
      <c r="W132" s="11" t="s">
        <v>95</v>
      </c>
      <c r="X132" s="11" t="s">
        <v>261</v>
      </c>
      <c r="Y132" s="11" t="s">
        <v>261</v>
      </c>
      <c r="Z132" s="11" t="s">
        <v>261</v>
      </c>
      <c r="AA132" s="11" t="s">
        <v>583</v>
      </c>
      <c r="AB132" s="11" t="s">
        <v>261</v>
      </c>
      <c r="AC132" s="11" t="s">
        <v>261</v>
      </c>
      <c r="AD132" s="11" t="s">
        <v>551</v>
      </c>
      <c r="AE132" s="12" t="s">
        <v>261</v>
      </c>
      <c r="AF132" s="11" t="s">
        <v>261</v>
      </c>
    </row>
    <row r="133" spans="1:32" ht="30" hidden="1" x14ac:dyDescent="0.25">
      <c r="A133" s="11">
        <v>1</v>
      </c>
      <c r="B133" s="11">
        <v>203821</v>
      </c>
      <c r="C133" s="11" t="s">
        <v>379</v>
      </c>
      <c r="D133" s="11" t="str">
        <f>MID(Table22[[#This Row],[تاريخ تاييد]],1,7)</f>
        <v>1403/08</v>
      </c>
      <c r="E133" s="11" t="str">
        <f>MID(Table22[[#This Row],[تاريخ تاييد]],6,2)</f>
        <v>08</v>
      </c>
      <c r="F133" s="11" t="str">
        <f>LEFT(Table22[[#This Row],[تاريخ تاييد]],4)</f>
        <v>1403</v>
      </c>
      <c r="G133" s="11" t="str">
        <f>VLOOKUP(Table22[[#This Row],[شماره فني]],Sheet7!A:C,3,0)</f>
        <v>NOD</v>
      </c>
      <c r="H133" s="11" t="str">
        <f>VLOOKUP(Table22[[#This Row],[شماره فني]],Sheet7!A:B,2,0)</f>
        <v>NBCM DENA</v>
      </c>
      <c r="I133" s="11" t="s">
        <v>381</v>
      </c>
      <c r="J133" s="11" t="s">
        <v>730</v>
      </c>
      <c r="K133" s="11" t="s">
        <v>22</v>
      </c>
      <c r="L133" s="11" t="s">
        <v>392</v>
      </c>
      <c r="M133" s="11" t="s">
        <v>261</v>
      </c>
      <c r="N133" s="11" t="s">
        <v>261</v>
      </c>
      <c r="O133" s="11" t="s">
        <v>261</v>
      </c>
      <c r="P133" s="11" t="s">
        <v>261</v>
      </c>
      <c r="Q133" s="11" t="s">
        <v>414</v>
      </c>
      <c r="R133" s="11" t="s">
        <v>415</v>
      </c>
      <c r="S133" s="11" t="s">
        <v>800</v>
      </c>
      <c r="T133" s="11" t="s">
        <v>797</v>
      </c>
      <c r="U133" s="11" t="s">
        <v>561</v>
      </c>
      <c r="V133" s="11">
        <v>1</v>
      </c>
      <c r="W133" s="11" t="s">
        <v>16</v>
      </c>
      <c r="X133" s="11" t="s">
        <v>261</v>
      </c>
      <c r="Y133" s="11" t="s">
        <v>392</v>
      </c>
      <c r="Z133" s="11" t="s">
        <v>66</v>
      </c>
      <c r="AA133" s="11" t="s">
        <v>28</v>
      </c>
      <c r="AB133" s="11" t="s">
        <v>261</v>
      </c>
      <c r="AC133" s="11" t="s">
        <v>261</v>
      </c>
      <c r="AD133" s="11" t="s">
        <v>551</v>
      </c>
      <c r="AE133" s="12" t="s">
        <v>261</v>
      </c>
      <c r="AF133" s="11" t="s">
        <v>261</v>
      </c>
    </row>
    <row r="134" spans="1:32" ht="45" hidden="1" x14ac:dyDescent="0.25">
      <c r="A134" s="11">
        <v>1</v>
      </c>
      <c r="B134" s="11">
        <v>203872</v>
      </c>
      <c r="C134" s="11" t="s">
        <v>382</v>
      </c>
      <c r="D134" s="11" t="str">
        <f>MID(Table22[[#This Row],[تاريخ تاييد]],1,7)</f>
        <v>1403/08</v>
      </c>
      <c r="E134" s="11" t="str">
        <f>MID(Table22[[#This Row],[تاريخ تاييد]],6,2)</f>
        <v>08</v>
      </c>
      <c r="F134" s="11" t="str">
        <f>LEFT(Table22[[#This Row],[تاريخ تاييد]],4)</f>
        <v>1403</v>
      </c>
      <c r="G134" s="11" t="str">
        <f>VLOOKUP(Table22[[#This Row],[شماره فني]],Sheet7!A:C,3,0)</f>
        <v>NOD</v>
      </c>
      <c r="H134" s="11" t="str">
        <f>VLOOKUP(Table22[[#This Row],[شماره فني]],Sheet7!A:B,2,0)</f>
        <v>NBCM SOREN</v>
      </c>
      <c r="I134" s="11" t="s">
        <v>866</v>
      </c>
      <c r="J134" s="11" t="s">
        <v>726</v>
      </c>
      <c r="K134" s="11" t="s">
        <v>261</v>
      </c>
      <c r="L134" s="11" t="s">
        <v>261</v>
      </c>
      <c r="M134" s="11" t="s">
        <v>261</v>
      </c>
      <c r="N134" s="11" t="s">
        <v>261</v>
      </c>
      <c r="O134" s="11" t="s">
        <v>261</v>
      </c>
      <c r="P134" s="11" t="s">
        <v>261</v>
      </c>
      <c r="Q134" s="11" t="s">
        <v>961</v>
      </c>
      <c r="R134" s="11" t="s">
        <v>261</v>
      </c>
      <c r="S134" s="11" t="s">
        <v>261</v>
      </c>
      <c r="T134" s="11" t="s">
        <v>552</v>
      </c>
      <c r="U134" s="11" t="s">
        <v>784</v>
      </c>
      <c r="V134" s="11">
        <v>5</v>
      </c>
      <c r="W134" s="11" t="s">
        <v>208</v>
      </c>
      <c r="X134" s="11" t="s">
        <v>261</v>
      </c>
      <c r="Y134" s="11" t="s">
        <v>261</v>
      </c>
      <c r="Z134" s="11" t="s">
        <v>261</v>
      </c>
      <c r="AA134" s="11" t="s">
        <v>583</v>
      </c>
      <c r="AB134" s="11" t="s">
        <v>261</v>
      </c>
      <c r="AC134" s="11" t="s">
        <v>261</v>
      </c>
      <c r="AD134" s="11" t="s">
        <v>551</v>
      </c>
      <c r="AE134" s="12" t="s">
        <v>261</v>
      </c>
      <c r="AF134" s="11" t="s">
        <v>261</v>
      </c>
    </row>
    <row r="135" spans="1:32" ht="45" hidden="1" x14ac:dyDescent="0.25">
      <c r="A135" s="11">
        <v>1</v>
      </c>
      <c r="B135" s="11">
        <v>203908</v>
      </c>
      <c r="C135" s="11" t="s">
        <v>382</v>
      </c>
      <c r="D135" s="11" t="str">
        <f>MID(Table22[[#This Row],[تاريخ تاييد]],1,7)</f>
        <v>1403/08</v>
      </c>
      <c r="E135" s="11" t="str">
        <f>MID(Table22[[#This Row],[تاريخ تاييد]],6,2)</f>
        <v>08</v>
      </c>
      <c r="F135" s="11" t="str">
        <f>LEFT(Table22[[#This Row],[تاريخ تاييد]],4)</f>
        <v>1403</v>
      </c>
      <c r="G135" s="11" t="str">
        <f>VLOOKUP(Table22[[#This Row],[شماره فني]],Sheet7!A:C,3,0)</f>
        <v>NOD</v>
      </c>
      <c r="H135" s="11" t="str">
        <f>VLOOKUP(Table22[[#This Row],[شماره فني]],Sheet7!A:B,2,0)</f>
        <v>NBCM 207</v>
      </c>
      <c r="I135" s="11" t="s">
        <v>383</v>
      </c>
      <c r="J135" s="11" t="s">
        <v>289</v>
      </c>
      <c r="K135" s="11" t="s">
        <v>261</v>
      </c>
      <c r="L135" s="11" t="s">
        <v>261</v>
      </c>
      <c r="M135" s="11" t="s">
        <v>261</v>
      </c>
      <c r="N135" s="11" t="s">
        <v>261</v>
      </c>
      <c r="O135" s="11" t="s">
        <v>261</v>
      </c>
      <c r="P135" s="11" t="s">
        <v>261</v>
      </c>
      <c r="Q135" s="11" t="s">
        <v>961</v>
      </c>
      <c r="R135" s="11" t="s">
        <v>261</v>
      </c>
      <c r="S135" s="11" t="s">
        <v>261</v>
      </c>
      <c r="T135" s="11" t="s">
        <v>552</v>
      </c>
      <c r="U135" s="11" t="s">
        <v>784</v>
      </c>
      <c r="V135" s="11">
        <v>8</v>
      </c>
      <c r="W135" s="11" t="s">
        <v>19</v>
      </c>
      <c r="X135" s="11" t="s">
        <v>261</v>
      </c>
      <c r="Y135" s="11" t="s">
        <v>261</v>
      </c>
      <c r="Z135" s="11" t="s">
        <v>261</v>
      </c>
      <c r="AA135" s="11" t="s">
        <v>583</v>
      </c>
      <c r="AB135" s="11" t="s">
        <v>261</v>
      </c>
      <c r="AC135" s="11" t="s">
        <v>261</v>
      </c>
      <c r="AD135" s="11" t="s">
        <v>551</v>
      </c>
      <c r="AE135" s="12" t="s">
        <v>261</v>
      </c>
      <c r="AF135" s="11" t="s">
        <v>261</v>
      </c>
    </row>
    <row r="136" spans="1:32" ht="45" hidden="1" x14ac:dyDescent="0.25">
      <c r="A136" s="11">
        <v>1</v>
      </c>
      <c r="B136" s="11">
        <v>203957</v>
      </c>
      <c r="C136" s="11" t="s">
        <v>382</v>
      </c>
      <c r="D136" s="11" t="str">
        <f>MID(Table22[[#This Row],[تاريخ تاييد]],1,7)</f>
        <v>1403/08</v>
      </c>
      <c r="E136" s="11" t="str">
        <f>MID(Table22[[#This Row],[تاريخ تاييد]],6,2)</f>
        <v>08</v>
      </c>
      <c r="F136" s="11" t="str">
        <f>LEFT(Table22[[#This Row],[تاريخ تاييد]],4)</f>
        <v>1403</v>
      </c>
      <c r="G136" s="11" t="str">
        <f>VLOOKUP(Table22[[#This Row],[شماره فني]],Sheet7!A:C,3,0)</f>
        <v>NOD</v>
      </c>
      <c r="H136" s="11" t="str">
        <f>VLOOKUP(Table22[[#This Row],[شماره فني]],Sheet7!A:B,2,0)</f>
        <v>NBCM DENA</v>
      </c>
      <c r="I136" s="11" t="s">
        <v>384</v>
      </c>
      <c r="J136" s="11" t="s">
        <v>485</v>
      </c>
      <c r="K136" s="11" t="s">
        <v>261</v>
      </c>
      <c r="L136" s="11" t="s">
        <v>261</v>
      </c>
      <c r="M136" s="11" t="s">
        <v>261</v>
      </c>
      <c r="N136" s="11" t="s">
        <v>261</v>
      </c>
      <c r="O136" s="11" t="s">
        <v>261</v>
      </c>
      <c r="P136" s="11" t="s">
        <v>261</v>
      </c>
      <c r="Q136" s="11" t="s">
        <v>961</v>
      </c>
      <c r="R136" s="11" t="s">
        <v>261</v>
      </c>
      <c r="S136" s="11" t="s">
        <v>261</v>
      </c>
      <c r="T136" s="11" t="s">
        <v>552</v>
      </c>
      <c r="U136" s="11" t="s">
        <v>784</v>
      </c>
      <c r="V136" s="11">
        <v>2</v>
      </c>
      <c r="W136" s="11" t="s">
        <v>16</v>
      </c>
      <c r="X136" s="11" t="s">
        <v>261</v>
      </c>
      <c r="Y136" s="11" t="s">
        <v>261</v>
      </c>
      <c r="Z136" s="11" t="s">
        <v>261</v>
      </c>
      <c r="AA136" s="11" t="s">
        <v>583</v>
      </c>
      <c r="AB136" s="11" t="s">
        <v>261</v>
      </c>
      <c r="AC136" s="11" t="s">
        <v>261</v>
      </c>
      <c r="AD136" s="11" t="s">
        <v>551</v>
      </c>
      <c r="AE136" s="12" t="s">
        <v>261</v>
      </c>
      <c r="AF136" s="11" t="s">
        <v>261</v>
      </c>
    </row>
    <row r="137" spans="1:32" ht="45" hidden="1" x14ac:dyDescent="0.25">
      <c r="A137" s="11">
        <v>1</v>
      </c>
      <c r="B137" s="11">
        <v>203961</v>
      </c>
      <c r="C137" s="11" t="s">
        <v>385</v>
      </c>
      <c r="D137" s="11" t="str">
        <f>MID(Table22[[#This Row],[تاريخ تاييد]],1,7)</f>
        <v>1403/08</v>
      </c>
      <c r="E137" s="11" t="str">
        <f>MID(Table22[[#This Row],[تاريخ تاييد]],6,2)</f>
        <v>08</v>
      </c>
      <c r="F137" s="11" t="str">
        <f>LEFT(Table22[[#This Row],[تاريخ تاييد]],4)</f>
        <v>1403</v>
      </c>
      <c r="G137" s="11" t="str">
        <f>VLOOKUP(Table22[[#This Row],[شماره فني]],Sheet7!A:C,3,0)</f>
        <v>جلو آمپر</v>
      </c>
      <c r="H137" s="11" t="str">
        <f>VLOOKUP(Table22[[#This Row],[شماره فني]],Sheet7!A:B,2,0)</f>
        <v>جلو آمپرSOREN TC 85 گانه</v>
      </c>
      <c r="I137" s="11" t="s">
        <v>386</v>
      </c>
      <c r="J137" s="11" t="s">
        <v>723</v>
      </c>
      <c r="K137" s="11" t="s">
        <v>261</v>
      </c>
      <c r="L137" s="11" t="s">
        <v>261</v>
      </c>
      <c r="M137" s="11" t="s">
        <v>261</v>
      </c>
      <c r="N137" s="11" t="s">
        <v>261</v>
      </c>
      <c r="O137" s="11" t="s">
        <v>261</v>
      </c>
      <c r="P137" s="11" t="s">
        <v>261</v>
      </c>
      <c r="Q137" s="11" t="s">
        <v>961</v>
      </c>
      <c r="R137" s="11" t="s">
        <v>261</v>
      </c>
      <c r="S137" s="11" t="s">
        <v>261</v>
      </c>
      <c r="T137" s="11" t="s">
        <v>552</v>
      </c>
      <c r="U137" s="11" t="s">
        <v>784</v>
      </c>
      <c r="V137" s="11">
        <v>3</v>
      </c>
      <c r="W137" s="11" t="s">
        <v>32</v>
      </c>
      <c r="X137" s="11" t="s">
        <v>261</v>
      </c>
      <c r="Y137" s="11" t="s">
        <v>261</v>
      </c>
      <c r="Z137" s="11" t="s">
        <v>261</v>
      </c>
      <c r="AA137" s="11" t="s">
        <v>583</v>
      </c>
      <c r="AB137" s="11" t="s">
        <v>261</v>
      </c>
      <c r="AC137" s="11" t="s">
        <v>261</v>
      </c>
      <c r="AD137" s="11" t="s">
        <v>551</v>
      </c>
      <c r="AE137" s="12" t="s">
        <v>261</v>
      </c>
      <c r="AF137" s="11" t="s">
        <v>261</v>
      </c>
    </row>
    <row r="138" spans="1:32" ht="30" hidden="1" x14ac:dyDescent="0.25">
      <c r="A138" s="11">
        <v>1</v>
      </c>
      <c r="B138" s="11">
        <v>204119</v>
      </c>
      <c r="C138" s="11" t="s">
        <v>392</v>
      </c>
      <c r="D138" s="11" t="str">
        <f>MID(Table22[[#This Row],[تاريخ تاييد]],1,7)</f>
        <v>1403/08</v>
      </c>
      <c r="E138" s="11" t="str">
        <f>MID(Table22[[#This Row],[تاريخ تاييد]],6,2)</f>
        <v>08</v>
      </c>
      <c r="F138" s="11" t="str">
        <f>LEFT(Table22[[#This Row],[تاريخ تاييد]],4)</f>
        <v>1403</v>
      </c>
      <c r="G138" s="11" t="str">
        <f>VLOOKUP(Table22[[#This Row],[شماره فني]],Sheet7!A:C,3,0)</f>
        <v>NOD</v>
      </c>
      <c r="H138" s="11" t="str">
        <f>VLOOKUP(Table22[[#This Row],[شماره فني]],Sheet7!A:B,2,0)</f>
        <v>NBCM DENA</v>
      </c>
      <c r="I138" s="11" t="s">
        <v>393</v>
      </c>
      <c r="J138" s="11" t="s">
        <v>334</v>
      </c>
      <c r="K138" s="11" t="s">
        <v>22</v>
      </c>
      <c r="L138" s="11" t="s">
        <v>420</v>
      </c>
      <c r="M138" s="11" t="s">
        <v>261</v>
      </c>
      <c r="N138" s="11" t="s">
        <v>261</v>
      </c>
      <c r="O138" s="11" t="s">
        <v>261</v>
      </c>
      <c r="P138" s="11" t="s">
        <v>261</v>
      </c>
      <c r="Q138" s="11" t="s">
        <v>423</v>
      </c>
      <c r="R138" s="11" t="s">
        <v>261</v>
      </c>
      <c r="S138" s="11" t="s">
        <v>985</v>
      </c>
      <c r="T138" s="11" t="s">
        <v>360</v>
      </c>
      <c r="U138" s="11" t="s">
        <v>572</v>
      </c>
      <c r="V138" s="11">
        <v>1</v>
      </c>
      <c r="W138" s="11" t="s">
        <v>16</v>
      </c>
      <c r="X138" s="11" t="s">
        <v>261</v>
      </c>
      <c r="Y138" s="11" t="s">
        <v>353</v>
      </c>
      <c r="Z138" s="11" t="s">
        <v>66</v>
      </c>
      <c r="AA138" s="11" t="s">
        <v>29</v>
      </c>
      <c r="AB138" s="11" t="s">
        <v>261</v>
      </c>
      <c r="AC138" s="11" t="s">
        <v>261</v>
      </c>
      <c r="AD138" s="11" t="s">
        <v>551</v>
      </c>
      <c r="AE138" s="12" t="s">
        <v>261</v>
      </c>
      <c r="AF138" s="11" t="s">
        <v>261</v>
      </c>
    </row>
    <row r="139" spans="1:32" ht="45" hidden="1" x14ac:dyDescent="0.25">
      <c r="A139" s="11">
        <v>1</v>
      </c>
      <c r="B139" s="11">
        <v>204307</v>
      </c>
      <c r="C139" s="11" t="s">
        <v>394</v>
      </c>
      <c r="D139" s="11" t="str">
        <f>MID(Table22[[#This Row],[تاريخ تاييد]],1,7)</f>
        <v>1403/08</v>
      </c>
      <c r="E139" s="11" t="str">
        <f>MID(Table22[[#This Row],[تاريخ تاييد]],6,2)</f>
        <v>08</v>
      </c>
      <c r="F139" s="11" t="str">
        <f>LEFT(Table22[[#This Row],[تاريخ تاييد]],4)</f>
        <v>1403</v>
      </c>
      <c r="G139" s="11" t="str">
        <f>VLOOKUP(Table22[[#This Row],[شماره فني]],Sheet7!A:C,3,0)</f>
        <v>NOD</v>
      </c>
      <c r="H139" s="11" t="str">
        <f>VLOOKUP(Table22[[#This Row],[شماره فني]],Sheet7!A:B,2,0)</f>
        <v>NBCM DENA</v>
      </c>
      <c r="I139" s="11" t="s">
        <v>395</v>
      </c>
      <c r="J139" s="11" t="s">
        <v>730</v>
      </c>
      <c r="K139" s="11" t="s">
        <v>261</v>
      </c>
      <c r="L139" s="11" t="s">
        <v>261</v>
      </c>
      <c r="M139" s="11" t="s">
        <v>261</v>
      </c>
      <c r="N139" s="11" t="s">
        <v>261</v>
      </c>
      <c r="O139" s="11" t="s">
        <v>261</v>
      </c>
      <c r="P139" s="11" t="s">
        <v>261</v>
      </c>
      <c r="Q139" s="11" t="s">
        <v>961</v>
      </c>
      <c r="R139" s="11" t="s">
        <v>261</v>
      </c>
      <c r="S139" s="11" t="s">
        <v>261</v>
      </c>
      <c r="T139" s="11" t="s">
        <v>552</v>
      </c>
      <c r="U139" s="11" t="s">
        <v>784</v>
      </c>
      <c r="V139" s="11">
        <v>1</v>
      </c>
      <c r="W139" s="11" t="s">
        <v>16</v>
      </c>
      <c r="X139" s="11" t="s">
        <v>261</v>
      </c>
      <c r="Y139" s="11" t="s">
        <v>261</v>
      </c>
      <c r="Z139" s="11" t="s">
        <v>261</v>
      </c>
      <c r="AA139" s="11" t="s">
        <v>583</v>
      </c>
      <c r="AB139" s="11" t="s">
        <v>261</v>
      </c>
      <c r="AC139" s="11" t="s">
        <v>261</v>
      </c>
      <c r="AD139" s="11" t="s">
        <v>551</v>
      </c>
      <c r="AE139" s="12" t="s">
        <v>261</v>
      </c>
      <c r="AF139" s="11" t="s">
        <v>261</v>
      </c>
    </row>
    <row r="140" spans="1:32" ht="45" hidden="1" x14ac:dyDescent="0.25">
      <c r="A140" s="11">
        <v>1</v>
      </c>
      <c r="B140" s="11">
        <v>204346</v>
      </c>
      <c r="C140" s="11" t="s">
        <v>394</v>
      </c>
      <c r="D140" s="11" t="str">
        <f>MID(Table22[[#This Row],[تاريخ تاييد]],1,7)</f>
        <v>1403/08</v>
      </c>
      <c r="E140" s="11" t="str">
        <f>MID(Table22[[#This Row],[تاريخ تاييد]],6,2)</f>
        <v>08</v>
      </c>
      <c r="F140" s="11" t="str">
        <f>LEFT(Table22[[#This Row],[تاريخ تاييد]],4)</f>
        <v>1403</v>
      </c>
      <c r="G140" s="11" t="str">
        <f>VLOOKUP(Table22[[#This Row],[شماره فني]],Sheet7!A:C,3,0)</f>
        <v>NOD</v>
      </c>
      <c r="H140" s="11" t="str">
        <f>VLOOKUP(Table22[[#This Row],[شماره فني]],Sheet7!A:B,2,0)</f>
        <v>NBCM 207</v>
      </c>
      <c r="I140" s="11" t="s">
        <v>396</v>
      </c>
      <c r="J140" s="11" t="s">
        <v>336</v>
      </c>
      <c r="K140" s="11" t="s">
        <v>261</v>
      </c>
      <c r="L140" s="11" t="s">
        <v>261</v>
      </c>
      <c r="M140" s="11" t="s">
        <v>261</v>
      </c>
      <c r="N140" s="11" t="s">
        <v>261</v>
      </c>
      <c r="O140" s="11" t="s">
        <v>261</v>
      </c>
      <c r="P140" s="11" t="s">
        <v>261</v>
      </c>
      <c r="Q140" s="11" t="s">
        <v>961</v>
      </c>
      <c r="R140" s="11" t="s">
        <v>261</v>
      </c>
      <c r="S140" s="11" t="s">
        <v>261</v>
      </c>
      <c r="T140" s="11" t="s">
        <v>552</v>
      </c>
      <c r="U140" s="11" t="s">
        <v>784</v>
      </c>
      <c r="V140" s="11">
        <v>1</v>
      </c>
      <c r="W140" s="11" t="s">
        <v>19</v>
      </c>
      <c r="X140" s="11" t="s">
        <v>261</v>
      </c>
      <c r="Y140" s="11" t="s">
        <v>261</v>
      </c>
      <c r="Z140" s="11" t="s">
        <v>261</v>
      </c>
      <c r="AA140" s="11" t="s">
        <v>583</v>
      </c>
      <c r="AB140" s="11" t="s">
        <v>261</v>
      </c>
      <c r="AC140" s="11" t="s">
        <v>261</v>
      </c>
      <c r="AD140" s="11" t="s">
        <v>551</v>
      </c>
      <c r="AE140" s="12" t="s">
        <v>261</v>
      </c>
      <c r="AF140" s="11" t="s">
        <v>261</v>
      </c>
    </row>
    <row r="141" spans="1:32" ht="30" hidden="1" x14ac:dyDescent="0.25">
      <c r="A141" s="11">
        <v>1</v>
      </c>
      <c r="B141" s="11">
        <v>204512</v>
      </c>
      <c r="C141" s="11" t="s">
        <v>429</v>
      </c>
      <c r="D141" s="11" t="str">
        <f>MID(Table22[[#This Row],[تاريخ تاييد]],1,7)</f>
        <v>1403/08</v>
      </c>
      <c r="E141" s="11" t="str">
        <f>MID(Table22[[#This Row],[تاريخ تاييد]],6,2)</f>
        <v>08</v>
      </c>
      <c r="F141" s="11" t="str">
        <f>LEFT(Table22[[#This Row],[تاريخ تاييد]],4)</f>
        <v>1403</v>
      </c>
      <c r="G141" s="11" t="str">
        <f>VLOOKUP(Table22[[#This Row],[شماره فني]],Sheet7!A:C,3,0)</f>
        <v>NOD</v>
      </c>
      <c r="H141" s="11" t="str">
        <f>VLOOKUP(Table22[[#This Row],[شماره فني]],Sheet7!A:B,2,0)</f>
        <v>NBCM TARA SAL</v>
      </c>
      <c r="I141" s="11" t="s">
        <v>430</v>
      </c>
      <c r="J141" s="11" t="s">
        <v>726</v>
      </c>
      <c r="K141" s="11" t="s">
        <v>22</v>
      </c>
      <c r="L141" s="11" t="s">
        <v>420</v>
      </c>
      <c r="M141" s="11" t="s">
        <v>261</v>
      </c>
      <c r="N141" s="11" t="s">
        <v>261</v>
      </c>
      <c r="O141" s="11" t="s">
        <v>261</v>
      </c>
      <c r="P141" s="11" t="s">
        <v>261</v>
      </c>
      <c r="Q141" s="11" t="s">
        <v>431</v>
      </c>
      <c r="R141" s="11" t="s">
        <v>261</v>
      </c>
      <c r="S141" s="11" t="s">
        <v>802</v>
      </c>
      <c r="T141" s="11" t="s">
        <v>797</v>
      </c>
      <c r="U141" s="11" t="s">
        <v>561</v>
      </c>
      <c r="V141" s="11">
        <v>1</v>
      </c>
      <c r="W141" s="11" t="s">
        <v>95</v>
      </c>
      <c r="X141" s="11" t="s">
        <v>261</v>
      </c>
      <c r="Y141" s="11" t="s">
        <v>420</v>
      </c>
      <c r="Z141" s="11" t="s">
        <v>66</v>
      </c>
      <c r="AA141" s="11" t="s">
        <v>28</v>
      </c>
      <c r="AB141" s="11" t="s">
        <v>261</v>
      </c>
      <c r="AC141" s="11" t="s">
        <v>261</v>
      </c>
      <c r="AD141" s="11" t="s">
        <v>551</v>
      </c>
      <c r="AE141" s="12" t="s">
        <v>261</v>
      </c>
      <c r="AF141" s="11" t="s">
        <v>261</v>
      </c>
    </row>
    <row r="142" spans="1:32" ht="30" hidden="1" x14ac:dyDescent="0.25">
      <c r="A142" s="11">
        <v>1</v>
      </c>
      <c r="B142" s="11">
        <v>204513</v>
      </c>
      <c r="C142" s="11" t="s">
        <v>397</v>
      </c>
      <c r="D142" s="11" t="str">
        <f>MID(Table22[[#This Row],[تاريخ تاييد]],1,7)</f>
        <v>1403/08</v>
      </c>
      <c r="E142" s="11" t="str">
        <f>MID(Table22[[#This Row],[تاريخ تاييد]],6,2)</f>
        <v>08</v>
      </c>
      <c r="F142" s="11" t="str">
        <f>LEFT(Table22[[#This Row],[تاريخ تاييد]],4)</f>
        <v>1403</v>
      </c>
      <c r="G142" s="11" t="str">
        <f>VLOOKUP(Table22[[#This Row],[شماره فني]],Sheet7!A:C,3,0)</f>
        <v>NOD</v>
      </c>
      <c r="H142" s="11" t="str">
        <f>VLOOKUP(Table22[[#This Row],[شماره فني]],Sheet7!A:B,2,0)</f>
        <v>NBCM TARA SAL</v>
      </c>
      <c r="I142" s="11" t="s">
        <v>398</v>
      </c>
      <c r="J142" s="11" t="s">
        <v>232</v>
      </c>
      <c r="K142" s="11" t="s">
        <v>22</v>
      </c>
      <c r="L142" s="11" t="s">
        <v>420</v>
      </c>
      <c r="M142" s="11" t="s">
        <v>261</v>
      </c>
      <c r="N142" s="11" t="s">
        <v>261</v>
      </c>
      <c r="O142" s="11" t="s">
        <v>261</v>
      </c>
      <c r="P142" s="11" t="s">
        <v>261</v>
      </c>
      <c r="Q142" s="11" t="s">
        <v>427</v>
      </c>
      <c r="R142" s="11" t="s">
        <v>428</v>
      </c>
      <c r="S142" s="11" t="s">
        <v>822</v>
      </c>
      <c r="T142" s="11" t="s">
        <v>427</v>
      </c>
      <c r="U142" s="11" t="s">
        <v>575</v>
      </c>
      <c r="V142" s="11">
        <v>2</v>
      </c>
      <c r="W142" s="11" t="s">
        <v>95</v>
      </c>
      <c r="X142" s="11" t="s">
        <v>261</v>
      </c>
      <c r="Y142" s="11" t="s">
        <v>420</v>
      </c>
      <c r="Z142" s="11" t="s">
        <v>66</v>
      </c>
      <c r="AA142" s="11" t="s">
        <v>29</v>
      </c>
      <c r="AB142" s="11" t="s">
        <v>261</v>
      </c>
      <c r="AC142" s="11" t="s">
        <v>261</v>
      </c>
      <c r="AD142" s="11" t="s">
        <v>551</v>
      </c>
      <c r="AE142" s="12" t="s">
        <v>261</v>
      </c>
      <c r="AF142" s="11" t="s">
        <v>261</v>
      </c>
    </row>
    <row r="143" spans="1:32" ht="30" hidden="1" x14ac:dyDescent="0.25">
      <c r="A143" s="11">
        <v>1</v>
      </c>
      <c r="B143" s="11">
        <v>204515</v>
      </c>
      <c r="C143" s="11" t="s">
        <v>399</v>
      </c>
      <c r="D143" s="11" t="str">
        <f>MID(Table22[[#This Row],[تاريخ تاييد]],1,7)</f>
        <v>1403/08</v>
      </c>
      <c r="E143" s="11" t="str">
        <f>MID(Table22[[#This Row],[تاريخ تاييد]],6,2)</f>
        <v>08</v>
      </c>
      <c r="F143" s="11" t="str">
        <f>LEFT(Table22[[#This Row],[تاريخ تاييد]],4)</f>
        <v>1403</v>
      </c>
      <c r="G143" s="11" t="str">
        <f>VLOOKUP(Table22[[#This Row],[شماره فني]],Sheet7!A:C,3,0)</f>
        <v>NOD</v>
      </c>
      <c r="H143" s="11" t="str">
        <f>VLOOKUP(Table22[[#This Row],[شماره فني]],Sheet7!A:B,2,0)</f>
        <v>NBCM TARA SAL</v>
      </c>
      <c r="I143" s="11" t="s">
        <v>400</v>
      </c>
      <c r="J143" s="11" t="s">
        <v>232</v>
      </c>
      <c r="K143" s="11" t="s">
        <v>23</v>
      </c>
      <c r="L143" s="11" t="s">
        <v>420</v>
      </c>
      <c r="M143" s="11" t="s">
        <v>261</v>
      </c>
      <c r="N143" s="11" t="s">
        <v>261</v>
      </c>
      <c r="O143" s="11" t="s">
        <v>261</v>
      </c>
      <c r="P143" s="11" t="s">
        <v>261</v>
      </c>
      <c r="Q143" s="11" t="s">
        <v>791</v>
      </c>
      <c r="R143" s="11" t="s">
        <v>792</v>
      </c>
      <c r="S143" s="11" t="s">
        <v>820</v>
      </c>
      <c r="T143" s="11" t="s">
        <v>821</v>
      </c>
      <c r="U143" s="11" t="s">
        <v>793</v>
      </c>
      <c r="V143" s="11">
        <v>1</v>
      </c>
      <c r="W143" s="11" t="s">
        <v>95</v>
      </c>
      <c r="X143" s="11" t="s">
        <v>261</v>
      </c>
      <c r="Y143" s="11" t="s">
        <v>420</v>
      </c>
      <c r="Z143" s="11" t="s">
        <v>66</v>
      </c>
      <c r="AA143" s="11" t="s">
        <v>27</v>
      </c>
      <c r="AB143" s="11" t="s">
        <v>960</v>
      </c>
      <c r="AC143" s="11" t="s">
        <v>261</v>
      </c>
      <c r="AD143" s="11" t="s">
        <v>551</v>
      </c>
      <c r="AE143" s="12" t="s">
        <v>261</v>
      </c>
      <c r="AF143" s="11" t="s">
        <v>261</v>
      </c>
    </row>
    <row r="144" spans="1:32" ht="150" hidden="1" x14ac:dyDescent="0.25">
      <c r="A144" s="11">
        <v>1</v>
      </c>
      <c r="B144" s="11">
        <v>204516</v>
      </c>
      <c r="C144" s="11" t="s">
        <v>401</v>
      </c>
      <c r="D144" s="11" t="str">
        <f>MID(Table22[[#This Row],[تاريخ تاييد]],1,7)</f>
        <v>1403/08</v>
      </c>
      <c r="E144" s="11" t="str">
        <f>MID(Table22[[#This Row],[تاريخ تاييد]],6,2)</f>
        <v>08</v>
      </c>
      <c r="F144" s="11" t="str">
        <f>LEFT(Table22[[#This Row],[تاريخ تاييد]],4)</f>
        <v>1403</v>
      </c>
      <c r="G144" s="11" t="str">
        <f>VLOOKUP(Table22[[#This Row],[شماره فني]],Sheet7!A:C,3,0)</f>
        <v>NOD</v>
      </c>
      <c r="H144" s="11" t="str">
        <f>VLOOKUP(Table22[[#This Row],[شماره فني]],Sheet7!A:B,2,0)</f>
        <v>NBCM TARA SAL</v>
      </c>
      <c r="I144" s="11" t="s">
        <v>402</v>
      </c>
      <c r="J144" s="11" t="s">
        <v>334</v>
      </c>
      <c r="K144" s="11" t="s">
        <v>22</v>
      </c>
      <c r="L144" s="11" t="s">
        <v>420</v>
      </c>
      <c r="M144" s="11" t="s">
        <v>261</v>
      </c>
      <c r="N144" s="11" t="s">
        <v>261</v>
      </c>
      <c r="O144" s="11" t="s">
        <v>261</v>
      </c>
      <c r="P144" s="11" t="s">
        <v>261</v>
      </c>
      <c r="Q144" s="11" t="s">
        <v>789</v>
      </c>
      <c r="R144" s="11" t="s">
        <v>790</v>
      </c>
      <c r="S144" s="11" t="s">
        <v>804</v>
      </c>
      <c r="T144" s="11" t="s">
        <v>797</v>
      </c>
      <c r="U144" s="11" t="s">
        <v>583</v>
      </c>
      <c r="V144" s="11">
        <v>1</v>
      </c>
      <c r="W144" s="11" t="s">
        <v>95</v>
      </c>
      <c r="X144" s="11" t="s">
        <v>261</v>
      </c>
      <c r="Y144" s="11" t="s">
        <v>420</v>
      </c>
      <c r="Z144" s="11" t="s">
        <v>66</v>
      </c>
      <c r="AA144" s="11" t="s">
        <v>583</v>
      </c>
      <c r="AB144" s="11" t="s">
        <v>261</v>
      </c>
      <c r="AC144" s="11" t="s">
        <v>261</v>
      </c>
      <c r="AD144" s="11" t="s">
        <v>551</v>
      </c>
      <c r="AE144" s="12" t="s">
        <v>261</v>
      </c>
      <c r="AF144" s="11" t="s">
        <v>261</v>
      </c>
    </row>
    <row r="145" spans="1:32" ht="30" hidden="1" x14ac:dyDescent="0.25">
      <c r="A145" s="11">
        <v>1</v>
      </c>
      <c r="B145" s="11">
        <v>204520</v>
      </c>
      <c r="C145" s="11" t="s">
        <v>401</v>
      </c>
      <c r="D145" s="11" t="str">
        <f>MID(Table22[[#This Row],[تاريخ تاييد]],1,7)</f>
        <v>1403/08</v>
      </c>
      <c r="E145" s="11" t="str">
        <f>MID(Table22[[#This Row],[تاريخ تاييد]],6,2)</f>
        <v>08</v>
      </c>
      <c r="F145" s="11" t="str">
        <f>LEFT(Table22[[#This Row],[تاريخ تاييد]],4)</f>
        <v>1403</v>
      </c>
      <c r="G145" s="11" t="str">
        <f>VLOOKUP(Table22[[#This Row],[شماره فني]],Sheet7!A:C,3,0)</f>
        <v>جلو آمپر</v>
      </c>
      <c r="H145" s="11" t="str">
        <f>VLOOKUP(Table22[[#This Row],[شماره فني]],Sheet7!A:B,2,0)</f>
        <v>جلو آمپر دنا ST</v>
      </c>
      <c r="I145" s="11" t="s">
        <v>403</v>
      </c>
      <c r="J145" s="11" t="s">
        <v>723</v>
      </c>
      <c r="K145" s="11" t="s">
        <v>22</v>
      </c>
      <c r="L145" s="11" t="s">
        <v>420</v>
      </c>
      <c r="M145" s="11" t="s">
        <v>261</v>
      </c>
      <c r="N145" s="11" t="s">
        <v>261</v>
      </c>
      <c r="O145" s="11" t="s">
        <v>261</v>
      </c>
      <c r="P145" s="11" t="s">
        <v>261</v>
      </c>
      <c r="Q145" s="11" t="s">
        <v>292</v>
      </c>
      <c r="R145" s="11" t="s">
        <v>261</v>
      </c>
      <c r="S145" s="11" t="s">
        <v>805</v>
      </c>
      <c r="T145" s="11" t="s">
        <v>838</v>
      </c>
      <c r="U145" s="11" t="s">
        <v>561</v>
      </c>
      <c r="V145" s="11">
        <v>1</v>
      </c>
      <c r="W145" s="11" t="s">
        <v>96</v>
      </c>
      <c r="X145" s="11" t="s">
        <v>261</v>
      </c>
      <c r="Y145" s="11" t="s">
        <v>420</v>
      </c>
      <c r="Z145" s="11" t="s">
        <v>66</v>
      </c>
      <c r="AA145" s="11" t="s">
        <v>28</v>
      </c>
      <c r="AB145" s="11" t="s">
        <v>261</v>
      </c>
      <c r="AC145" s="11" t="s">
        <v>261</v>
      </c>
      <c r="AD145" s="11" t="s">
        <v>551</v>
      </c>
      <c r="AE145" s="12" t="s">
        <v>261</v>
      </c>
      <c r="AF145" s="11" t="s">
        <v>261</v>
      </c>
    </row>
    <row r="146" spans="1:32" ht="30" hidden="1" x14ac:dyDescent="0.25">
      <c r="A146" s="11">
        <v>1</v>
      </c>
      <c r="B146" s="11">
        <v>204671</v>
      </c>
      <c r="C146" s="11" t="s">
        <v>399</v>
      </c>
      <c r="D146" s="11" t="str">
        <f>MID(Table22[[#This Row],[تاريخ تاييد]],1,7)</f>
        <v>1403/08</v>
      </c>
      <c r="E146" s="11" t="str">
        <f>MID(Table22[[#This Row],[تاريخ تاييد]],6,2)</f>
        <v>08</v>
      </c>
      <c r="F146" s="11" t="str">
        <f>LEFT(Table22[[#This Row],[تاريخ تاييد]],4)</f>
        <v>1403</v>
      </c>
      <c r="G146" s="11" t="str">
        <f>VLOOKUP(Table22[[#This Row],[شماره فني]],Sheet7!A:C,3,0)</f>
        <v>جلو آمپر</v>
      </c>
      <c r="H146" s="11" t="str">
        <f>VLOOKUP(Table22[[#This Row],[شماره فني]],Sheet7!A:B,2,0)</f>
        <v>جلو آمپر دنا ST</v>
      </c>
      <c r="I146" s="11" t="s">
        <v>404</v>
      </c>
      <c r="J146" s="11" t="s">
        <v>231</v>
      </c>
      <c r="K146" s="11" t="s">
        <v>22</v>
      </c>
      <c r="L146" s="11" t="s">
        <v>420</v>
      </c>
      <c r="M146" s="11" t="s">
        <v>261</v>
      </c>
      <c r="N146" s="11" t="s">
        <v>261</v>
      </c>
      <c r="O146" s="11" t="s">
        <v>261</v>
      </c>
      <c r="P146" s="11" t="s">
        <v>261</v>
      </c>
      <c r="Q146" s="11" t="s">
        <v>421</v>
      </c>
      <c r="R146" s="11" t="s">
        <v>261</v>
      </c>
      <c r="S146" s="11" t="s">
        <v>231</v>
      </c>
      <c r="T146" s="11" t="s">
        <v>731</v>
      </c>
      <c r="U146" s="11" t="s">
        <v>586</v>
      </c>
      <c r="V146" s="11">
        <v>1</v>
      </c>
      <c r="W146" s="11" t="s">
        <v>96</v>
      </c>
      <c r="X146" s="11" t="s">
        <v>261</v>
      </c>
      <c r="Y146" s="11" t="s">
        <v>420</v>
      </c>
      <c r="Z146" s="11" t="s">
        <v>66</v>
      </c>
      <c r="AA146" s="11" t="s">
        <v>26</v>
      </c>
      <c r="AB146" s="11" t="s">
        <v>261</v>
      </c>
      <c r="AC146" s="11" t="s">
        <v>422</v>
      </c>
      <c r="AD146" s="11" t="s">
        <v>551</v>
      </c>
      <c r="AE146" s="12" t="s">
        <v>261</v>
      </c>
      <c r="AF146" s="11" t="s">
        <v>261</v>
      </c>
    </row>
    <row r="147" spans="1:32" ht="45" hidden="1" x14ac:dyDescent="0.25">
      <c r="A147" s="11">
        <v>1</v>
      </c>
      <c r="B147" s="11">
        <v>204683</v>
      </c>
      <c r="C147" s="11" t="s">
        <v>399</v>
      </c>
      <c r="D147" s="11" t="str">
        <f>MID(Table22[[#This Row],[تاريخ تاييد]],1,7)</f>
        <v>1403/08</v>
      </c>
      <c r="E147" s="11" t="str">
        <f>MID(Table22[[#This Row],[تاريخ تاييد]],6,2)</f>
        <v>08</v>
      </c>
      <c r="F147" s="11" t="str">
        <f>LEFT(Table22[[#This Row],[تاريخ تاييد]],4)</f>
        <v>1403</v>
      </c>
      <c r="G147" s="11" t="str">
        <f>VLOOKUP(Table22[[#This Row],[شماره فني]],Sheet7!A:C,3,0)</f>
        <v>کلید شیشه بالابر</v>
      </c>
      <c r="H147" s="11" t="str">
        <f>VLOOKUP(Table22[[#This Row],[شماره فني]],Sheet7!A:B,2,0)</f>
        <v>کلید شیشه بالابر جلو راست سورن</v>
      </c>
      <c r="I147" s="11" t="s">
        <v>405</v>
      </c>
      <c r="J147" s="11" t="s">
        <v>723</v>
      </c>
      <c r="K147" s="11" t="s">
        <v>261</v>
      </c>
      <c r="L147" s="11" t="s">
        <v>261</v>
      </c>
      <c r="M147" s="11" t="s">
        <v>261</v>
      </c>
      <c r="N147" s="11" t="s">
        <v>261</v>
      </c>
      <c r="O147" s="11" t="s">
        <v>261</v>
      </c>
      <c r="P147" s="11" t="s">
        <v>261</v>
      </c>
      <c r="Q147" s="11" t="s">
        <v>961</v>
      </c>
      <c r="R147" s="11" t="s">
        <v>261</v>
      </c>
      <c r="S147" s="11" t="s">
        <v>261</v>
      </c>
      <c r="T147" s="11" t="s">
        <v>552</v>
      </c>
      <c r="U147" s="11" t="s">
        <v>784</v>
      </c>
      <c r="V147" s="11">
        <v>3</v>
      </c>
      <c r="W147" s="11" t="s">
        <v>205</v>
      </c>
      <c r="X147" s="11" t="s">
        <v>261</v>
      </c>
      <c r="Y147" s="11" t="s">
        <v>261</v>
      </c>
      <c r="Z147" s="11" t="s">
        <v>261</v>
      </c>
      <c r="AA147" s="11" t="s">
        <v>583</v>
      </c>
      <c r="AB147" s="11" t="s">
        <v>261</v>
      </c>
      <c r="AC147" s="11" t="s">
        <v>261</v>
      </c>
      <c r="AD147" s="11" t="s">
        <v>551</v>
      </c>
      <c r="AE147" s="12" t="s">
        <v>261</v>
      </c>
      <c r="AF147" s="11" t="s">
        <v>261</v>
      </c>
    </row>
    <row r="148" spans="1:32" ht="45" hidden="1" x14ac:dyDescent="0.25">
      <c r="A148" s="11">
        <v>1</v>
      </c>
      <c r="B148" s="11">
        <v>204702</v>
      </c>
      <c r="C148" s="11" t="s">
        <v>397</v>
      </c>
      <c r="D148" s="11" t="str">
        <f>MID(Table22[[#This Row],[تاريخ تاييد]],1,7)</f>
        <v>1403/08</v>
      </c>
      <c r="E148" s="11" t="str">
        <f>MID(Table22[[#This Row],[تاريخ تاييد]],6,2)</f>
        <v>08</v>
      </c>
      <c r="F148" s="11" t="str">
        <f>LEFT(Table22[[#This Row],[تاريخ تاييد]],4)</f>
        <v>1403</v>
      </c>
      <c r="G148" s="11" t="str">
        <f>VLOOKUP(Table22[[#This Row],[شماره فني]],Sheet7!A:C,3,0)</f>
        <v>NOD</v>
      </c>
      <c r="H148" s="11" t="str">
        <f>VLOOKUP(Table22[[#This Row],[شماره فني]],Sheet7!A:B,2,0)</f>
        <v>NBCM SOREN</v>
      </c>
      <c r="I148" s="11" t="s">
        <v>406</v>
      </c>
      <c r="J148" s="11" t="s">
        <v>485</v>
      </c>
      <c r="K148" s="11" t="s">
        <v>261</v>
      </c>
      <c r="L148" s="11" t="s">
        <v>261</v>
      </c>
      <c r="M148" s="11" t="s">
        <v>261</v>
      </c>
      <c r="N148" s="11" t="s">
        <v>261</v>
      </c>
      <c r="O148" s="11" t="s">
        <v>261</v>
      </c>
      <c r="P148" s="11" t="s">
        <v>261</v>
      </c>
      <c r="Q148" s="11" t="s">
        <v>961</v>
      </c>
      <c r="R148" s="11" t="s">
        <v>261</v>
      </c>
      <c r="S148" s="11" t="s">
        <v>261</v>
      </c>
      <c r="T148" s="11" t="s">
        <v>552</v>
      </c>
      <c r="U148" s="11" t="s">
        <v>784</v>
      </c>
      <c r="V148" s="11">
        <v>4</v>
      </c>
      <c r="W148" s="11" t="s">
        <v>208</v>
      </c>
      <c r="X148" s="11" t="s">
        <v>261</v>
      </c>
      <c r="Y148" s="11" t="s">
        <v>261</v>
      </c>
      <c r="Z148" s="11" t="s">
        <v>261</v>
      </c>
      <c r="AA148" s="11" t="s">
        <v>583</v>
      </c>
      <c r="AB148" s="11" t="s">
        <v>261</v>
      </c>
      <c r="AC148" s="11" t="s">
        <v>261</v>
      </c>
      <c r="AD148" s="11" t="s">
        <v>551</v>
      </c>
      <c r="AE148" s="12" t="s">
        <v>261</v>
      </c>
      <c r="AF148" s="11" t="s">
        <v>261</v>
      </c>
    </row>
    <row r="149" spans="1:32" ht="30" hidden="1" x14ac:dyDescent="0.25">
      <c r="A149" s="11">
        <v>1</v>
      </c>
      <c r="B149" s="11">
        <v>204733</v>
      </c>
      <c r="C149" s="11" t="s">
        <v>397</v>
      </c>
      <c r="D149" s="11" t="str">
        <f>MID(Table22[[#This Row],[تاريخ تاييد]],1,7)</f>
        <v>1403/08</v>
      </c>
      <c r="E149" s="11" t="str">
        <f>MID(Table22[[#This Row],[تاريخ تاييد]],6,2)</f>
        <v>08</v>
      </c>
      <c r="F149" s="11" t="str">
        <f>LEFT(Table22[[#This Row],[تاريخ تاييد]],4)</f>
        <v>1403</v>
      </c>
      <c r="G149" s="11" t="str">
        <f>VLOOKUP(Table22[[#This Row],[شماره فني]],Sheet7!A:C,3,0)</f>
        <v>NOD</v>
      </c>
      <c r="H149" s="11" t="str">
        <f>VLOOKUP(Table22[[#This Row],[شماره فني]],Sheet7!A:B,2,0)</f>
        <v>NBCM TARA SAL</v>
      </c>
      <c r="I149" s="11" t="s">
        <v>407</v>
      </c>
      <c r="J149" s="11" t="s">
        <v>230</v>
      </c>
      <c r="K149" s="11" t="s">
        <v>261</v>
      </c>
      <c r="L149" s="11" t="s">
        <v>261</v>
      </c>
      <c r="M149" s="11" t="s">
        <v>261</v>
      </c>
      <c r="N149" s="11" t="s">
        <v>261</v>
      </c>
      <c r="O149" s="11" t="s">
        <v>261</v>
      </c>
      <c r="P149" s="11" t="s">
        <v>261</v>
      </c>
      <c r="Q149" s="11" t="s">
        <v>261</v>
      </c>
      <c r="R149" s="11" t="s">
        <v>576</v>
      </c>
      <c r="S149" s="11" t="s">
        <v>830</v>
      </c>
      <c r="T149" s="11" t="s">
        <v>230</v>
      </c>
      <c r="U149" s="11" t="s">
        <v>586</v>
      </c>
      <c r="V149" s="11">
        <v>1</v>
      </c>
      <c r="W149" s="11" t="s">
        <v>95</v>
      </c>
      <c r="X149" s="11" t="s">
        <v>261</v>
      </c>
      <c r="Y149" s="11" t="s">
        <v>261</v>
      </c>
      <c r="Z149" s="11" t="s">
        <v>261</v>
      </c>
      <c r="AA149" s="11" t="s">
        <v>26</v>
      </c>
      <c r="AB149" s="11" t="s">
        <v>261</v>
      </c>
      <c r="AC149" s="11" t="s">
        <v>583</v>
      </c>
      <c r="AD149" s="11" t="s">
        <v>551</v>
      </c>
      <c r="AE149" s="12" t="s">
        <v>261</v>
      </c>
      <c r="AF149" s="11" t="s">
        <v>261</v>
      </c>
    </row>
    <row r="150" spans="1:32" ht="30" hidden="1" x14ac:dyDescent="0.25">
      <c r="A150" s="11">
        <v>1</v>
      </c>
      <c r="B150" s="11">
        <v>204855</v>
      </c>
      <c r="C150" s="11" t="s">
        <v>417</v>
      </c>
      <c r="D150" s="11" t="str">
        <f>MID(Table22[[#This Row],[تاريخ تاييد]],1,7)</f>
        <v>1403/08</v>
      </c>
      <c r="E150" s="11" t="str">
        <f>MID(Table22[[#This Row],[تاريخ تاييد]],6,2)</f>
        <v>08</v>
      </c>
      <c r="F150" s="11" t="str">
        <f>LEFT(Table22[[#This Row],[تاريخ تاييد]],4)</f>
        <v>1403</v>
      </c>
      <c r="G150" s="11" t="str">
        <f>VLOOKUP(Table22[[#This Row],[شماره فني]],Sheet7!A:C,3,0)</f>
        <v>جلو آمپر</v>
      </c>
      <c r="H150" s="11" t="str">
        <f>VLOOKUP(Table22[[#This Row],[شماره فني]],Sheet7!A:B,2,0)</f>
        <v>جلو آمپر دنا ST</v>
      </c>
      <c r="I150" s="11" t="s">
        <v>432</v>
      </c>
      <c r="J150" s="11" t="s">
        <v>233</v>
      </c>
      <c r="K150" s="11" t="s">
        <v>22</v>
      </c>
      <c r="L150" s="11" t="s">
        <v>444</v>
      </c>
      <c r="M150" s="11" t="s">
        <v>261</v>
      </c>
      <c r="N150" s="11" t="s">
        <v>261</v>
      </c>
      <c r="O150" s="11" t="s">
        <v>261</v>
      </c>
      <c r="P150" s="11" t="s">
        <v>261</v>
      </c>
      <c r="Q150" s="11" t="s">
        <v>168</v>
      </c>
      <c r="R150" s="11" t="s">
        <v>261</v>
      </c>
      <c r="S150" s="11" t="s">
        <v>803</v>
      </c>
      <c r="T150" s="11" t="s">
        <v>797</v>
      </c>
      <c r="U150" s="11" t="s">
        <v>561</v>
      </c>
      <c r="V150" s="11">
        <v>1</v>
      </c>
      <c r="W150" s="11" t="s">
        <v>96</v>
      </c>
      <c r="X150" s="11" t="s">
        <v>445</v>
      </c>
      <c r="Y150" s="11" t="s">
        <v>444</v>
      </c>
      <c r="Z150" s="11" t="s">
        <v>66</v>
      </c>
      <c r="AA150" s="11" t="s">
        <v>28</v>
      </c>
      <c r="AB150" s="11" t="s">
        <v>261</v>
      </c>
      <c r="AC150" s="11" t="s">
        <v>261</v>
      </c>
      <c r="AD150" s="11" t="s">
        <v>551</v>
      </c>
      <c r="AE150" s="12" t="s">
        <v>261</v>
      </c>
      <c r="AF150" s="11" t="s">
        <v>261</v>
      </c>
    </row>
    <row r="151" spans="1:32" ht="30" hidden="1" x14ac:dyDescent="0.25">
      <c r="A151" s="11">
        <v>1</v>
      </c>
      <c r="B151" s="11">
        <v>204993</v>
      </c>
      <c r="C151" s="11" t="s">
        <v>429</v>
      </c>
      <c r="D151" s="11" t="str">
        <f>MID(Table22[[#This Row],[تاريخ تاييد]],1,7)</f>
        <v>1403/08</v>
      </c>
      <c r="E151" s="11" t="str">
        <f>MID(Table22[[#This Row],[تاريخ تاييد]],6,2)</f>
        <v>08</v>
      </c>
      <c r="F151" s="11" t="str">
        <f>LEFT(Table22[[#This Row],[تاريخ تاييد]],4)</f>
        <v>1403</v>
      </c>
      <c r="G151" s="11" t="str">
        <f>VLOOKUP(Table22[[#This Row],[شماره فني]],Sheet7!A:C,3,0)</f>
        <v>جلو آمپر</v>
      </c>
      <c r="H151" s="11" t="str">
        <f>VLOOKUP(Table22[[#This Row],[شماره فني]],Sheet7!A:B,2,0)</f>
        <v>جلو آمپر207 اتوماتیک85 گانه</v>
      </c>
      <c r="I151" s="11" t="s">
        <v>433</v>
      </c>
      <c r="J151" s="11" t="s">
        <v>723</v>
      </c>
      <c r="K151" s="11" t="s">
        <v>22</v>
      </c>
      <c r="L151" s="11" t="s">
        <v>444</v>
      </c>
      <c r="M151" s="11" t="s">
        <v>261</v>
      </c>
      <c r="N151" s="11" t="s">
        <v>261</v>
      </c>
      <c r="O151" s="11" t="s">
        <v>261</v>
      </c>
      <c r="P151" s="11" t="s">
        <v>261</v>
      </c>
      <c r="Q151" s="11" t="s">
        <v>257</v>
      </c>
      <c r="R151" s="11" t="s">
        <v>577</v>
      </c>
      <c r="S151" s="11" t="s">
        <v>826</v>
      </c>
      <c r="T151" s="11" t="s">
        <v>827</v>
      </c>
      <c r="U151" s="11" t="s">
        <v>561</v>
      </c>
      <c r="V151" s="11">
        <v>1</v>
      </c>
      <c r="W151" s="11" t="s">
        <v>31</v>
      </c>
      <c r="X151" s="11" t="s">
        <v>446</v>
      </c>
      <c r="Y151" s="11" t="s">
        <v>444</v>
      </c>
      <c r="Z151" s="11" t="s">
        <v>66</v>
      </c>
      <c r="AA151" s="11" t="s">
        <v>28</v>
      </c>
      <c r="AB151" s="11" t="s">
        <v>261</v>
      </c>
      <c r="AC151" s="11" t="s">
        <v>261</v>
      </c>
      <c r="AD151" s="11" t="s">
        <v>551</v>
      </c>
      <c r="AE151" s="12" t="s">
        <v>261</v>
      </c>
      <c r="AF151" s="11" t="s">
        <v>261</v>
      </c>
    </row>
    <row r="152" spans="1:32" ht="45" hidden="1" x14ac:dyDescent="0.25">
      <c r="A152" s="11">
        <v>1</v>
      </c>
      <c r="B152" s="11">
        <v>205012</v>
      </c>
      <c r="C152" s="11" t="s">
        <v>429</v>
      </c>
      <c r="D152" s="11" t="str">
        <f>MID(Table22[[#This Row],[تاريخ تاييد]],1,7)</f>
        <v>1403/08</v>
      </c>
      <c r="E152" s="11" t="str">
        <f>MID(Table22[[#This Row],[تاريخ تاييد]],6,2)</f>
        <v>08</v>
      </c>
      <c r="F152" s="11" t="str">
        <f>LEFT(Table22[[#This Row],[تاريخ تاييد]],4)</f>
        <v>1403</v>
      </c>
      <c r="G152" s="11" t="str">
        <f>VLOOKUP(Table22[[#This Row],[شماره فني]],Sheet7!A:C,3,0)</f>
        <v>کلید شیشه بالابر</v>
      </c>
      <c r="H152" s="11" t="str">
        <f>VLOOKUP(Table22[[#This Row],[شماره فني]],Sheet7!A:B,2,0)</f>
        <v>کلید شیشه بالابر عقب چپ سورن</v>
      </c>
      <c r="I152" s="11" t="s">
        <v>434</v>
      </c>
      <c r="J152" s="11" t="s">
        <v>723</v>
      </c>
      <c r="K152" s="11" t="s">
        <v>261</v>
      </c>
      <c r="L152" s="11" t="s">
        <v>261</v>
      </c>
      <c r="M152" s="11" t="s">
        <v>261</v>
      </c>
      <c r="N152" s="11" t="s">
        <v>261</v>
      </c>
      <c r="O152" s="11" t="s">
        <v>261</v>
      </c>
      <c r="P152" s="11" t="s">
        <v>261</v>
      </c>
      <c r="Q152" s="11" t="s">
        <v>961</v>
      </c>
      <c r="R152" s="11" t="s">
        <v>261</v>
      </c>
      <c r="S152" s="11" t="s">
        <v>261</v>
      </c>
      <c r="T152" s="11" t="s">
        <v>552</v>
      </c>
      <c r="U152" s="11" t="s">
        <v>784</v>
      </c>
      <c r="V152" s="11">
        <v>10</v>
      </c>
      <c r="W152" s="11" t="s">
        <v>287</v>
      </c>
      <c r="X152" s="11" t="s">
        <v>261</v>
      </c>
      <c r="Y152" s="11" t="s">
        <v>261</v>
      </c>
      <c r="Z152" s="11" t="s">
        <v>261</v>
      </c>
      <c r="AA152" s="11" t="s">
        <v>583</v>
      </c>
      <c r="AB152" s="11" t="s">
        <v>261</v>
      </c>
      <c r="AC152" s="11" t="s">
        <v>261</v>
      </c>
      <c r="AD152" s="11" t="s">
        <v>551</v>
      </c>
      <c r="AE152" s="12" t="s">
        <v>261</v>
      </c>
      <c r="AF152" s="11" t="s">
        <v>261</v>
      </c>
    </row>
    <row r="153" spans="1:32" ht="30" hidden="1" x14ac:dyDescent="0.25">
      <c r="A153" s="11">
        <v>1</v>
      </c>
      <c r="B153" s="11">
        <v>205124</v>
      </c>
      <c r="C153" s="11" t="s">
        <v>435</v>
      </c>
      <c r="D153" s="11" t="str">
        <f>MID(Table22[[#This Row],[تاريخ تاييد]],1,7)</f>
        <v>1403/09</v>
      </c>
      <c r="E153" s="11" t="str">
        <f>MID(Table22[[#This Row],[تاريخ تاييد]],6,2)</f>
        <v>09</v>
      </c>
      <c r="F153" s="11" t="str">
        <f>LEFT(Table22[[#This Row],[تاريخ تاييد]],4)</f>
        <v>1403</v>
      </c>
      <c r="G153" s="11" t="str">
        <f>VLOOKUP(Table22[[#This Row],[شماره فني]],Sheet7!A:C,3,0)</f>
        <v>جلو آمپر</v>
      </c>
      <c r="H153" s="11" t="str">
        <f>VLOOKUP(Table22[[#This Row],[شماره فني]],Sheet7!A:B,2,0)</f>
        <v>جلو آمپر دنا ST</v>
      </c>
      <c r="I153" s="11" t="s">
        <v>436</v>
      </c>
      <c r="J153" s="11" t="s">
        <v>729</v>
      </c>
      <c r="K153" s="11" t="s">
        <v>23</v>
      </c>
      <c r="L153" s="11" t="s">
        <v>444</v>
      </c>
      <c r="M153" s="11" t="s">
        <v>261</v>
      </c>
      <c r="N153" s="11" t="s">
        <v>261</v>
      </c>
      <c r="O153" s="11" t="s">
        <v>261</v>
      </c>
      <c r="P153" s="11" t="s">
        <v>261</v>
      </c>
      <c r="Q153" s="11" t="s">
        <v>418</v>
      </c>
      <c r="R153" s="11" t="s">
        <v>639</v>
      </c>
      <c r="S153" s="11" t="s">
        <v>817</v>
      </c>
      <c r="T153" s="11" t="s">
        <v>809</v>
      </c>
      <c r="U153" s="11" t="s">
        <v>564</v>
      </c>
      <c r="V153" s="11">
        <v>1</v>
      </c>
      <c r="W153" s="11" t="s">
        <v>96</v>
      </c>
      <c r="X153" s="11" t="s">
        <v>261</v>
      </c>
      <c r="Y153" s="11" t="s">
        <v>392</v>
      </c>
      <c r="Z153" s="11" t="s">
        <v>66</v>
      </c>
      <c r="AA153" s="11" t="s">
        <v>29</v>
      </c>
      <c r="AB153" s="11" t="s">
        <v>261</v>
      </c>
      <c r="AC153" s="11" t="s">
        <v>261</v>
      </c>
      <c r="AD153" s="11" t="s">
        <v>551</v>
      </c>
      <c r="AE153" s="12" t="s">
        <v>261</v>
      </c>
      <c r="AF153" s="11" t="s">
        <v>261</v>
      </c>
    </row>
    <row r="154" spans="1:32" ht="45" hidden="1" x14ac:dyDescent="0.25">
      <c r="A154" s="11">
        <v>1</v>
      </c>
      <c r="B154" s="11">
        <v>205257</v>
      </c>
      <c r="C154" s="11" t="s">
        <v>449</v>
      </c>
      <c r="D154" s="11" t="str">
        <f>MID(Table22[[#This Row],[تاريخ تاييد]],1,7)</f>
        <v>1403/09</v>
      </c>
      <c r="E154" s="11" t="str">
        <f>MID(Table22[[#This Row],[تاريخ تاييد]],6,2)</f>
        <v>09</v>
      </c>
      <c r="F154" s="11" t="str">
        <f>LEFT(Table22[[#This Row],[تاريخ تاييد]],4)</f>
        <v>1403</v>
      </c>
      <c r="G154" s="11" t="str">
        <f>VLOOKUP(Table22[[#This Row],[شماره فني]],Sheet7!A:C,3,0)</f>
        <v>کلید شیشه بالابر</v>
      </c>
      <c r="H154" s="11" t="str">
        <f>VLOOKUP(Table22[[#This Row],[شماره فني]],Sheet7!A:B,2,0)</f>
        <v>کلید شیشه بالابر جلو چپ سورن</v>
      </c>
      <c r="I154" s="11" t="s">
        <v>450</v>
      </c>
      <c r="J154" s="11" t="s">
        <v>334</v>
      </c>
      <c r="K154" s="11" t="s">
        <v>261</v>
      </c>
      <c r="L154" s="11" t="s">
        <v>261</v>
      </c>
      <c r="M154" s="11" t="s">
        <v>261</v>
      </c>
      <c r="N154" s="11" t="s">
        <v>261</v>
      </c>
      <c r="O154" s="11" t="s">
        <v>261</v>
      </c>
      <c r="P154" s="11" t="s">
        <v>261</v>
      </c>
      <c r="Q154" s="11" t="s">
        <v>961</v>
      </c>
      <c r="R154" s="11" t="s">
        <v>261</v>
      </c>
      <c r="S154" s="11" t="s">
        <v>261</v>
      </c>
      <c r="T154" s="11" t="s">
        <v>552</v>
      </c>
      <c r="U154" s="11" t="s">
        <v>784</v>
      </c>
      <c r="V154" s="11">
        <v>1</v>
      </c>
      <c r="W154" s="11" t="s">
        <v>306</v>
      </c>
      <c r="X154" s="11" t="s">
        <v>261</v>
      </c>
      <c r="Y154" s="11" t="s">
        <v>261</v>
      </c>
      <c r="Z154" s="11" t="s">
        <v>261</v>
      </c>
      <c r="AA154" s="11" t="s">
        <v>583</v>
      </c>
      <c r="AB154" s="11" t="s">
        <v>261</v>
      </c>
      <c r="AC154" s="11" t="s">
        <v>261</v>
      </c>
      <c r="AD154" s="11" t="s">
        <v>551</v>
      </c>
      <c r="AE154" s="12" t="s">
        <v>261</v>
      </c>
      <c r="AF154" s="11" t="s">
        <v>261</v>
      </c>
    </row>
    <row r="155" spans="1:32" ht="30" hidden="1" x14ac:dyDescent="0.25">
      <c r="A155" s="11">
        <v>1</v>
      </c>
      <c r="B155" s="11">
        <v>205317</v>
      </c>
      <c r="C155" s="11" t="s">
        <v>437</v>
      </c>
      <c r="D155" s="11" t="str">
        <f>MID(Table22[[#This Row],[تاريخ تاييد]],1,7)</f>
        <v>1403/09</v>
      </c>
      <c r="E155" s="11" t="str">
        <f>MID(Table22[[#This Row],[تاريخ تاييد]],6,2)</f>
        <v>09</v>
      </c>
      <c r="F155" s="11" t="str">
        <f>LEFT(Table22[[#This Row],[تاريخ تاييد]],4)</f>
        <v>1403</v>
      </c>
      <c r="G155" s="11" t="str">
        <f>VLOOKUP(Table22[[#This Row],[شماره فني]],Sheet7!A:C,3,0)</f>
        <v>جلو آمپر</v>
      </c>
      <c r="H155" s="11" t="str">
        <f>VLOOKUP(Table22[[#This Row],[شماره فني]],Sheet7!A:B,2,0)</f>
        <v>جلو آمپر تارا اتوماتیک</v>
      </c>
      <c r="I155" s="11" t="s">
        <v>438</v>
      </c>
      <c r="J155" s="11" t="s">
        <v>335</v>
      </c>
      <c r="K155" s="11" t="s">
        <v>23</v>
      </c>
      <c r="L155" s="11" t="s">
        <v>449</v>
      </c>
      <c r="M155" s="11" t="s">
        <v>261</v>
      </c>
      <c r="N155" s="11" t="s">
        <v>261</v>
      </c>
      <c r="O155" s="11" t="s">
        <v>261</v>
      </c>
      <c r="P155" s="11" t="s">
        <v>261</v>
      </c>
      <c r="Q155" s="11" t="s">
        <v>964</v>
      </c>
      <c r="R155" s="11" t="s">
        <v>578</v>
      </c>
      <c r="S155" s="11" t="s">
        <v>801</v>
      </c>
      <c r="T155" s="11" t="s">
        <v>813</v>
      </c>
      <c r="U155" s="11" t="s">
        <v>563</v>
      </c>
      <c r="V155" s="11">
        <v>1</v>
      </c>
      <c r="W155" s="11" t="s">
        <v>20</v>
      </c>
      <c r="X155" s="11" t="s">
        <v>261</v>
      </c>
      <c r="Y155" s="11" t="s">
        <v>449</v>
      </c>
      <c r="Z155" s="11" t="s">
        <v>66</v>
      </c>
      <c r="AA155" s="11" t="s">
        <v>27</v>
      </c>
      <c r="AB155" s="11" t="s">
        <v>987</v>
      </c>
      <c r="AC155" s="11" t="s">
        <v>261</v>
      </c>
      <c r="AD155" s="11" t="s">
        <v>551</v>
      </c>
      <c r="AE155" s="12" t="s">
        <v>965</v>
      </c>
      <c r="AF155" s="11" t="s">
        <v>261</v>
      </c>
    </row>
    <row r="156" spans="1:32" ht="45" hidden="1" x14ac:dyDescent="0.25">
      <c r="A156" s="11">
        <v>1</v>
      </c>
      <c r="B156" s="11">
        <v>205346</v>
      </c>
      <c r="C156" s="11" t="s">
        <v>437</v>
      </c>
      <c r="D156" s="11" t="str">
        <f>MID(Table22[[#This Row],[تاريخ تاييد]],1,7)</f>
        <v>1403/09</v>
      </c>
      <c r="E156" s="11" t="str">
        <f>MID(Table22[[#This Row],[تاريخ تاييد]],6,2)</f>
        <v>09</v>
      </c>
      <c r="F156" s="11" t="str">
        <f>LEFT(Table22[[#This Row],[تاريخ تاييد]],4)</f>
        <v>1403</v>
      </c>
      <c r="G156" s="11" t="str">
        <f>VLOOKUP(Table22[[#This Row],[شماره فني]],Sheet7!A:C,3,0)</f>
        <v>جلو آمپر</v>
      </c>
      <c r="H156" s="11" t="str">
        <f>VLOOKUP(Table22[[#This Row],[شماره فني]],Sheet7!A:B,2,0)</f>
        <v>جلو آمپر دنا ST</v>
      </c>
      <c r="I156" s="11" t="s">
        <v>439</v>
      </c>
      <c r="J156" s="11" t="s">
        <v>724</v>
      </c>
      <c r="K156" s="11" t="s">
        <v>261</v>
      </c>
      <c r="L156" s="11" t="s">
        <v>261</v>
      </c>
      <c r="M156" s="11" t="s">
        <v>261</v>
      </c>
      <c r="N156" s="11" t="s">
        <v>261</v>
      </c>
      <c r="O156" s="11" t="s">
        <v>261</v>
      </c>
      <c r="P156" s="11" t="s">
        <v>261</v>
      </c>
      <c r="Q156" s="11" t="s">
        <v>961</v>
      </c>
      <c r="R156" s="11" t="s">
        <v>261</v>
      </c>
      <c r="S156" s="11" t="s">
        <v>261</v>
      </c>
      <c r="T156" s="11" t="s">
        <v>552</v>
      </c>
      <c r="U156" s="11" t="s">
        <v>784</v>
      </c>
      <c r="V156" s="11">
        <v>1</v>
      </c>
      <c r="W156" s="11" t="s">
        <v>96</v>
      </c>
      <c r="X156" s="11" t="s">
        <v>261</v>
      </c>
      <c r="Y156" s="11" t="s">
        <v>261</v>
      </c>
      <c r="Z156" s="11" t="s">
        <v>261</v>
      </c>
      <c r="AA156" s="11" t="s">
        <v>583</v>
      </c>
      <c r="AB156" s="11" t="s">
        <v>261</v>
      </c>
      <c r="AC156" s="11" t="s">
        <v>261</v>
      </c>
      <c r="AD156" s="11" t="s">
        <v>551</v>
      </c>
      <c r="AE156" s="12" t="s">
        <v>261</v>
      </c>
      <c r="AF156" s="11" t="s">
        <v>261</v>
      </c>
    </row>
    <row r="157" spans="1:32" ht="45" hidden="1" x14ac:dyDescent="0.25">
      <c r="A157" s="11">
        <v>1</v>
      </c>
      <c r="B157" s="11">
        <v>205405</v>
      </c>
      <c r="C157" s="11" t="s">
        <v>440</v>
      </c>
      <c r="D157" s="11" t="str">
        <f>MID(Table22[[#This Row],[تاريخ تاييد]],1,7)</f>
        <v>1403/09</v>
      </c>
      <c r="E157" s="11" t="str">
        <f>MID(Table22[[#This Row],[تاريخ تاييد]],6,2)</f>
        <v>09</v>
      </c>
      <c r="F157" s="11" t="str">
        <f>LEFT(Table22[[#This Row],[تاريخ تاييد]],4)</f>
        <v>1403</v>
      </c>
      <c r="G157" s="11" t="str">
        <f>VLOOKUP(Table22[[#This Row],[شماره فني]],Sheet7!A:C,3,0)</f>
        <v>جلو آمپر</v>
      </c>
      <c r="H157" s="11" t="str">
        <f>VLOOKUP(Table22[[#This Row],[شماره فني]],Sheet7!A:B,2,0)</f>
        <v>جلو آمپر دنا اتوماتیک</v>
      </c>
      <c r="I157" s="11" t="s">
        <v>441</v>
      </c>
      <c r="J157" s="11" t="s">
        <v>334</v>
      </c>
      <c r="K157" s="11" t="s">
        <v>261</v>
      </c>
      <c r="L157" s="11" t="s">
        <v>261</v>
      </c>
      <c r="M157" s="11" t="s">
        <v>261</v>
      </c>
      <c r="N157" s="11" t="s">
        <v>261</v>
      </c>
      <c r="O157" s="11" t="s">
        <v>261</v>
      </c>
      <c r="P157" s="11" t="s">
        <v>261</v>
      </c>
      <c r="Q157" s="11" t="s">
        <v>961</v>
      </c>
      <c r="R157" s="11" t="s">
        <v>261</v>
      </c>
      <c r="S157" s="11" t="s">
        <v>261</v>
      </c>
      <c r="T157" s="11" t="s">
        <v>552</v>
      </c>
      <c r="U157" s="11" t="s">
        <v>784</v>
      </c>
      <c r="V157" s="11">
        <v>1</v>
      </c>
      <c r="W157" s="11" t="s">
        <v>21</v>
      </c>
      <c r="X157" s="11" t="s">
        <v>261</v>
      </c>
      <c r="Y157" s="11" t="s">
        <v>261</v>
      </c>
      <c r="Z157" s="11" t="s">
        <v>261</v>
      </c>
      <c r="AA157" s="11" t="s">
        <v>583</v>
      </c>
      <c r="AB157" s="11" t="s">
        <v>261</v>
      </c>
      <c r="AC157" s="11" t="s">
        <v>261</v>
      </c>
      <c r="AD157" s="11" t="s">
        <v>551</v>
      </c>
      <c r="AE157" s="12" t="s">
        <v>261</v>
      </c>
      <c r="AF157" s="11" t="s">
        <v>261</v>
      </c>
    </row>
    <row r="158" spans="1:32" ht="45" hidden="1" x14ac:dyDescent="0.25">
      <c r="A158" s="11">
        <v>1</v>
      </c>
      <c r="B158" s="11">
        <v>205646</v>
      </c>
      <c r="C158" s="11" t="s">
        <v>442</v>
      </c>
      <c r="D158" s="11" t="str">
        <f>MID(Table22[[#This Row],[تاريخ تاييد]],1,7)</f>
        <v>1403/09</v>
      </c>
      <c r="E158" s="11" t="str">
        <f>MID(Table22[[#This Row],[تاريخ تاييد]],6,2)</f>
        <v>09</v>
      </c>
      <c r="F158" s="11" t="str">
        <f>LEFT(Table22[[#This Row],[تاريخ تاييد]],4)</f>
        <v>1403</v>
      </c>
      <c r="G158" s="11" t="str">
        <f>VLOOKUP(Table22[[#This Row],[شماره فني]],Sheet7!A:C,3,0)</f>
        <v>جلو آمپر</v>
      </c>
      <c r="H158" s="11" t="str">
        <f>VLOOKUP(Table22[[#This Row],[شماره فني]],Sheet7!A:B,2,0)</f>
        <v>جلو آمپر دنا ST</v>
      </c>
      <c r="I158" s="11" t="s">
        <v>443</v>
      </c>
      <c r="J158" s="11" t="s">
        <v>231</v>
      </c>
      <c r="K158" s="11" t="s">
        <v>261</v>
      </c>
      <c r="L158" s="11" t="s">
        <v>261</v>
      </c>
      <c r="M158" s="11" t="s">
        <v>261</v>
      </c>
      <c r="N158" s="11" t="s">
        <v>261</v>
      </c>
      <c r="O158" s="11" t="s">
        <v>261</v>
      </c>
      <c r="P158" s="11" t="s">
        <v>261</v>
      </c>
      <c r="Q158" s="11" t="s">
        <v>961</v>
      </c>
      <c r="R158" s="11" t="s">
        <v>261</v>
      </c>
      <c r="S158" s="11" t="s">
        <v>261</v>
      </c>
      <c r="T158" s="11" t="s">
        <v>552</v>
      </c>
      <c r="U158" s="11" t="s">
        <v>784</v>
      </c>
      <c r="V158" s="11">
        <v>1</v>
      </c>
      <c r="W158" s="11" t="s">
        <v>96</v>
      </c>
      <c r="X158" s="11" t="s">
        <v>261</v>
      </c>
      <c r="Y158" s="11" t="s">
        <v>261</v>
      </c>
      <c r="Z158" s="11" t="s">
        <v>261</v>
      </c>
      <c r="AA158" s="11" t="s">
        <v>583</v>
      </c>
      <c r="AB158" s="11" t="s">
        <v>261</v>
      </c>
      <c r="AC158" s="11" t="s">
        <v>261</v>
      </c>
      <c r="AD158" s="11" t="s">
        <v>551</v>
      </c>
      <c r="AE158" s="12" t="s">
        <v>261</v>
      </c>
      <c r="AF158" s="11" t="s">
        <v>261</v>
      </c>
    </row>
    <row r="159" spans="1:32" ht="30" hidden="1" x14ac:dyDescent="0.25">
      <c r="A159" s="11">
        <v>1</v>
      </c>
      <c r="B159" s="11">
        <v>206009</v>
      </c>
      <c r="C159" s="11" t="s">
        <v>451</v>
      </c>
      <c r="D159" s="11" t="str">
        <f>MID(Table22[[#This Row],[تاريخ تاييد]],1,7)</f>
        <v>1403/09</v>
      </c>
      <c r="E159" s="11" t="str">
        <f>MID(Table22[[#This Row],[تاريخ تاييد]],6,2)</f>
        <v>09</v>
      </c>
      <c r="F159" s="11" t="str">
        <f>LEFT(Table22[[#This Row],[تاريخ تاييد]],4)</f>
        <v>1403</v>
      </c>
      <c r="G159" s="11" t="str">
        <f>VLOOKUP(Table22[[#This Row],[شماره فني]],Sheet7!A:C,3,0)</f>
        <v>جلو آمپر</v>
      </c>
      <c r="H159" s="11" t="str">
        <f>VLOOKUP(Table22[[#This Row],[شماره فني]],Sheet7!A:B,2,0)</f>
        <v>جلو آمپر207  معمولی85 گانه</v>
      </c>
      <c r="I159" s="11" t="s">
        <v>452</v>
      </c>
      <c r="J159" s="11" t="s">
        <v>335</v>
      </c>
      <c r="K159" s="11" t="s">
        <v>22</v>
      </c>
      <c r="L159" s="11" t="s">
        <v>449</v>
      </c>
      <c r="M159" s="11" t="s">
        <v>261</v>
      </c>
      <c r="N159" s="11" t="s">
        <v>261</v>
      </c>
      <c r="O159" s="11" t="s">
        <v>261</v>
      </c>
      <c r="P159" s="11" t="s">
        <v>261</v>
      </c>
      <c r="Q159" s="11" t="s">
        <v>964</v>
      </c>
      <c r="R159" s="11" t="s">
        <v>479</v>
      </c>
      <c r="S159" s="11" t="s">
        <v>801</v>
      </c>
      <c r="T159" s="11" t="s">
        <v>813</v>
      </c>
      <c r="U159" s="11" t="s">
        <v>563</v>
      </c>
      <c r="V159" s="11">
        <v>1</v>
      </c>
      <c r="W159" s="11" t="s">
        <v>30</v>
      </c>
      <c r="X159" s="11" t="s">
        <v>478</v>
      </c>
      <c r="Y159" s="11" t="s">
        <v>449</v>
      </c>
      <c r="Z159" s="11" t="s">
        <v>66</v>
      </c>
      <c r="AA159" s="11" t="s">
        <v>27</v>
      </c>
      <c r="AB159" s="11" t="s">
        <v>987</v>
      </c>
      <c r="AC159" s="11" t="s">
        <v>261</v>
      </c>
      <c r="AD159" s="11" t="s">
        <v>551</v>
      </c>
      <c r="AE159" s="12" t="s">
        <v>965</v>
      </c>
      <c r="AF159" s="11" t="s">
        <v>261</v>
      </c>
    </row>
    <row r="160" spans="1:32" ht="30" hidden="1" x14ac:dyDescent="0.25">
      <c r="A160" s="11">
        <v>1</v>
      </c>
      <c r="B160" s="11">
        <v>206254</v>
      </c>
      <c r="C160" s="11" t="s">
        <v>453</v>
      </c>
      <c r="D160" s="11" t="str">
        <f>MID(Table22[[#This Row],[تاريخ تاييد]],1,7)</f>
        <v>1403/09</v>
      </c>
      <c r="E160" s="11" t="str">
        <f>MID(Table22[[#This Row],[تاريخ تاييد]],6,2)</f>
        <v>09</v>
      </c>
      <c r="F160" s="11" t="str">
        <f>LEFT(Table22[[#This Row],[تاريخ تاييد]],4)</f>
        <v>1403</v>
      </c>
      <c r="G160" s="11" t="str">
        <f>VLOOKUP(Table22[[#This Row],[شماره فني]],Sheet7!A:C,3,0)</f>
        <v>NOD</v>
      </c>
      <c r="H160" s="11" t="str">
        <f>VLOOKUP(Table22[[#This Row],[شماره فني]],Sheet7!A:B,2,0)</f>
        <v>NBCM TARA SAL</v>
      </c>
      <c r="I160" s="11" t="s">
        <v>454</v>
      </c>
      <c r="J160" s="11" t="s">
        <v>334</v>
      </c>
      <c r="K160" s="11" t="s">
        <v>22</v>
      </c>
      <c r="L160" s="11" t="s">
        <v>449</v>
      </c>
      <c r="M160" s="11" t="s">
        <v>261</v>
      </c>
      <c r="N160" s="11" t="s">
        <v>261</v>
      </c>
      <c r="O160" s="11" t="s">
        <v>261</v>
      </c>
      <c r="P160" s="11" t="s">
        <v>261</v>
      </c>
      <c r="Q160" s="11" t="s">
        <v>487</v>
      </c>
      <c r="R160" s="11" t="s">
        <v>488</v>
      </c>
      <c r="S160" s="11" t="s">
        <v>799</v>
      </c>
      <c r="T160" s="11" t="s">
        <v>811</v>
      </c>
      <c r="U160" s="11" t="s">
        <v>579</v>
      </c>
      <c r="V160" s="11">
        <v>1</v>
      </c>
      <c r="W160" s="11" t="s">
        <v>95</v>
      </c>
      <c r="X160" s="11" t="s">
        <v>261</v>
      </c>
      <c r="Y160" s="11" t="s">
        <v>449</v>
      </c>
      <c r="Z160" s="11" t="s">
        <v>66</v>
      </c>
      <c r="AA160" s="11" t="s">
        <v>27</v>
      </c>
      <c r="AB160" s="11" t="s">
        <v>989</v>
      </c>
      <c r="AC160" s="11" t="s">
        <v>261</v>
      </c>
      <c r="AD160" s="11" t="s">
        <v>551</v>
      </c>
      <c r="AE160" s="12" t="s">
        <v>261</v>
      </c>
      <c r="AF160" s="11" t="s">
        <v>261</v>
      </c>
    </row>
    <row r="161" spans="1:32" ht="30" hidden="1" x14ac:dyDescent="0.25">
      <c r="A161" s="11">
        <v>1</v>
      </c>
      <c r="B161" s="11">
        <v>206256</v>
      </c>
      <c r="C161" s="11" t="s">
        <v>453</v>
      </c>
      <c r="D161" s="11" t="str">
        <f>MID(Table22[[#This Row],[تاريخ تاييد]],1,7)</f>
        <v>1403/09</v>
      </c>
      <c r="E161" s="11" t="str">
        <f>MID(Table22[[#This Row],[تاريخ تاييد]],6,2)</f>
        <v>09</v>
      </c>
      <c r="F161" s="11" t="str">
        <f>LEFT(Table22[[#This Row],[تاريخ تاييد]],4)</f>
        <v>1403</v>
      </c>
      <c r="G161" s="11" t="str">
        <f>VLOOKUP(Table22[[#This Row],[شماره فني]],Sheet7!A:C,3,0)</f>
        <v>جلو آمپر</v>
      </c>
      <c r="H161" s="11" t="str">
        <f>VLOOKUP(Table22[[#This Row],[شماره فني]],Sheet7!A:B,2,0)</f>
        <v>جلو آمپر دنا ST</v>
      </c>
      <c r="I161" s="11" t="s">
        <v>455</v>
      </c>
      <c r="J161" s="11" t="s">
        <v>335</v>
      </c>
      <c r="K161" s="11" t="s">
        <v>22</v>
      </c>
      <c r="L161" s="11" t="s">
        <v>449</v>
      </c>
      <c r="M161" s="11" t="s">
        <v>261</v>
      </c>
      <c r="N161" s="11" t="s">
        <v>261</v>
      </c>
      <c r="O161" s="11" t="s">
        <v>261</v>
      </c>
      <c r="P161" s="11" t="s">
        <v>261</v>
      </c>
      <c r="Q161" s="11" t="s">
        <v>167</v>
      </c>
      <c r="R161" s="11" t="s">
        <v>476</v>
      </c>
      <c r="S161" s="11" t="s">
        <v>801</v>
      </c>
      <c r="T161" s="11" t="s">
        <v>797</v>
      </c>
      <c r="U161" s="11" t="s">
        <v>561</v>
      </c>
      <c r="V161" s="11">
        <v>1</v>
      </c>
      <c r="W161" s="11" t="s">
        <v>96</v>
      </c>
      <c r="X161" s="11" t="s">
        <v>477</v>
      </c>
      <c r="Y161" s="11" t="s">
        <v>449</v>
      </c>
      <c r="Z161" s="11" t="s">
        <v>66</v>
      </c>
      <c r="AA161" s="11" t="s">
        <v>28</v>
      </c>
      <c r="AB161" s="11" t="s">
        <v>261</v>
      </c>
      <c r="AC161" s="11" t="s">
        <v>261</v>
      </c>
      <c r="AD161" s="11" t="s">
        <v>551</v>
      </c>
      <c r="AE161" s="12" t="s">
        <v>261</v>
      </c>
      <c r="AF161" s="11" t="s">
        <v>261</v>
      </c>
    </row>
    <row r="162" spans="1:32" ht="105" hidden="1" x14ac:dyDescent="0.25">
      <c r="A162" s="11">
        <v>1</v>
      </c>
      <c r="B162" s="11">
        <v>206315</v>
      </c>
      <c r="C162" s="11" t="s">
        <v>456</v>
      </c>
      <c r="D162" s="11" t="str">
        <f>MID(Table22[[#This Row],[تاريخ تاييد]],1,7)</f>
        <v>1403/10</v>
      </c>
      <c r="E162" s="11" t="str">
        <f>MID(Table22[[#This Row],[تاريخ تاييد]],6,2)</f>
        <v>10</v>
      </c>
      <c r="F162" s="11" t="str">
        <f>LEFT(Table22[[#This Row],[تاريخ تاييد]],4)</f>
        <v>1403</v>
      </c>
      <c r="G162" s="11" t="str">
        <f>VLOOKUP(Table22[[#This Row],[شماره فني]],Sheet7!A:C,3,0)</f>
        <v>NOD</v>
      </c>
      <c r="H162" s="11" t="str">
        <f>VLOOKUP(Table22[[#This Row],[شماره فني]],Sheet7!A:B,2,0)</f>
        <v>NBCM TARA SAL</v>
      </c>
      <c r="I162" s="11" t="s">
        <v>457</v>
      </c>
      <c r="J162" s="11" t="s">
        <v>334</v>
      </c>
      <c r="K162" s="11" t="s">
        <v>22</v>
      </c>
      <c r="L162" s="11" t="s">
        <v>449</v>
      </c>
      <c r="M162" s="11" t="s">
        <v>261</v>
      </c>
      <c r="N162" s="11" t="s">
        <v>261</v>
      </c>
      <c r="O162" s="11" t="s">
        <v>261</v>
      </c>
      <c r="P162" s="11" t="s">
        <v>261</v>
      </c>
      <c r="Q162" s="11" t="s">
        <v>489</v>
      </c>
      <c r="R162" s="11" t="s">
        <v>490</v>
      </c>
      <c r="S162" s="11" t="s">
        <v>985</v>
      </c>
      <c r="T162" s="11" t="s">
        <v>585</v>
      </c>
      <c r="U162" s="11" t="s">
        <v>586</v>
      </c>
      <c r="V162" s="11">
        <v>1</v>
      </c>
      <c r="W162" s="11" t="s">
        <v>95</v>
      </c>
      <c r="X162" s="11" t="s">
        <v>261</v>
      </c>
      <c r="Y162" s="11" t="s">
        <v>261</v>
      </c>
      <c r="Z162" s="11" t="s">
        <v>261</v>
      </c>
      <c r="AA162" s="11" t="s">
        <v>26</v>
      </c>
      <c r="AB162" s="11" t="s">
        <v>261</v>
      </c>
      <c r="AC162" s="11" t="s">
        <v>583</v>
      </c>
      <c r="AD162" s="11" t="s">
        <v>551</v>
      </c>
      <c r="AE162" s="12" t="s">
        <v>261</v>
      </c>
      <c r="AF162" s="11" t="s">
        <v>261</v>
      </c>
    </row>
    <row r="163" spans="1:32" ht="45" hidden="1" x14ac:dyDescent="0.25">
      <c r="A163" s="11">
        <v>1</v>
      </c>
      <c r="B163" s="11">
        <v>206366</v>
      </c>
      <c r="C163" s="11" t="s">
        <v>458</v>
      </c>
      <c r="D163" s="11" t="str">
        <f>MID(Table22[[#This Row],[تاريخ تاييد]],1,7)</f>
        <v>1403/09</v>
      </c>
      <c r="E163" s="11" t="str">
        <f>MID(Table22[[#This Row],[تاريخ تاييد]],6,2)</f>
        <v>09</v>
      </c>
      <c r="F163" s="11" t="str">
        <f>LEFT(Table22[[#This Row],[تاريخ تاييد]],4)</f>
        <v>1403</v>
      </c>
      <c r="G163" s="11" t="str">
        <f>VLOOKUP(Table22[[#This Row],[شماره فني]],Sheet7!A:C,3,0)</f>
        <v>NOD</v>
      </c>
      <c r="H163" s="11" t="str">
        <f>VLOOKUP(Table22[[#This Row],[شماره فني]],Sheet7!A:B,2,0)</f>
        <v>NBCM SOREN</v>
      </c>
      <c r="I163" s="11" t="s">
        <v>459</v>
      </c>
      <c r="J163" s="11" t="s">
        <v>230</v>
      </c>
      <c r="K163" s="11" t="s">
        <v>261</v>
      </c>
      <c r="L163" s="11" t="s">
        <v>261</v>
      </c>
      <c r="M163" s="11" t="s">
        <v>261</v>
      </c>
      <c r="N163" s="11" t="s">
        <v>261</v>
      </c>
      <c r="O163" s="11" t="s">
        <v>261</v>
      </c>
      <c r="P163" s="11" t="s">
        <v>261</v>
      </c>
      <c r="Q163" s="11" t="s">
        <v>961</v>
      </c>
      <c r="R163" s="11" t="s">
        <v>261</v>
      </c>
      <c r="S163" s="11" t="s">
        <v>261</v>
      </c>
      <c r="T163" s="11" t="s">
        <v>552</v>
      </c>
      <c r="U163" s="11" t="s">
        <v>784</v>
      </c>
      <c r="V163" s="11">
        <v>2</v>
      </c>
      <c r="W163" s="11" t="s">
        <v>208</v>
      </c>
      <c r="X163" s="11" t="s">
        <v>261</v>
      </c>
      <c r="Y163" s="11" t="s">
        <v>261</v>
      </c>
      <c r="Z163" s="11" t="s">
        <v>261</v>
      </c>
      <c r="AA163" s="11" t="s">
        <v>583</v>
      </c>
      <c r="AB163" s="11" t="s">
        <v>261</v>
      </c>
      <c r="AC163" s="11" t="s">
        <v>261</v>
      </c>
      <c r="AD163" s="11" t="s">
        <v>551</v>
      </c>
      <c r="AE163" s="12" t="s">
        <v>261</v>
      </c>
      <c r="AF163" s="11" t="s">
        <v>261</v>
      </c>
    </row>
    <row r="164" spans="1:32" ht="30" hidden="1" x14ac:dyDescent="0.25">
      <c r="A164" s="11">
        <v>1</v>
      </c>
      <c r="B164" s="11">
        <v>206388</v>
      </c>
      <c r="C164" s="11" t="s">
        <v>456</v>
      </c>
      <c r="D164" s="11" t="str">
        <f>MID(Table22[[#This Row],[تاريخ تاييد]],1,7)</f>
        <v>1403/10</v>
      </c>
      <c r="E164" s="11" t="str">
        <f>MID(Table22[[#This Row],[تاريخ تاييد]],6,2)</f>
        <v>10</v>
      </c>
      <c r="F164" s="11" t="str">
        <f>LEFT(Table22[[#This Row],[تاريخ تاييد]],4)</f>
        <v>1403</v>
      </c>
      <c r="G164" s="11" t="str">
        <f>VLOOKUP(Table22[[#This Row],[شماره فني]],Sheet7!A:C,3,0)</f>
        <v>جلو آمپر</v>
      </c>
      <c r="H164" s="11" t="str">
        <f>VLOOKUP(Table22[[#This Row],[شماره فني]],Sheet7!A:B,2,0)</f>
        <v>جلو آمپر207 اتوماتیک85 گانه</v>
      </c>
      <c r="I164" s="11" t="s">
        <v>460</v>
      </c>
      <c r="J164" s="11" t="s">
        <v>231</v>
      </c>
      <c r="K164" s="11" t="s">
        <v>22</v>
      </c>
      <c r="L164" s="11" t="s">
        <v>449</v>
      </c>
      <c r="M164" s="11" t="s">
        <v>261</v>
      </c>
      <c r="N164" s="11" t="s">
        <v>261</v>
      </c>
      <c r="O164" s="11" t="s">
        <v>261</v>
      </c>
      <c r="P164" s="11" t="s">
        <v>261</v>
      </c>
      <c r="Q164" s="11" t="s">
        <v>486</v>
      </c>
      <c r="R164" s="11" t="s">
        <v>261</v>
      </c>
      <c r="S164" s="11" t="s">
        <v>231</v>
      </c>
      <c r="T164" s="11" t="s">
        <v>797</v>
      </c>
      <c r="U164" s="11" t="s">
        <v>561</v>
      </c>
      <c r="V164" s="11">
        <v>1</v>
      </c>
      <c r="W164" s="11" t="s">
        <v>31</v>
      </c>
      <c r="X164" s="11" t="s">
        <v>261</v>
      </c>
      <c r="Y164" s="11" t="s">
        <v>449</v>
      </c>
      <c r="Z164" s="11" t="s">
        <v>66</v>
      </c>
      <c r="AA164" s="11" t="s">
        <v>28</v>
      </c>
      <c r="AB164" s="11" t="s">
        <v>261</v>
      </c>
      <c r="AC164" s="11" t="s">
        <v>261</v>
      </c>
      <c r="AD164" s="11" t="s">
        <v>551</v>
      </c>
      <c r="AE164" s="12" t="s">
        <v>261</v>
      </c>
      <c r="AF164" s="11" t="s">
        <v>261</v>
      </c>
    </row>
    <row r="165" spans="1:32" ht="45" hidden="1" x14ac:dyDescent="0.25">
      <c r="A165" s="11">
        <v>1</v>
      </c>
      <c r="B165" s="11">
        <v>206397</v>
      </c>
      <c r="C165" s="11" t="s">
        <v>456</v>
      </c>
      <c r="D165" s="11" t="str">
        <f>MID(Table22[[#This Row],[تاريخ تاييد]],1,7)</f>
        <v>1403/10</v>
      </c>
      <c r="E165" s="11" t="str">
        <f>MID(Table22[[#This Row],[تاريخ تاييد]],6,2)</f>
        <v>10</v>
      </c>
      <c r="F165" s="11" t="str">
        <f>LEFT(Table22[[#This Row],[تاريخ تاييد]],4)</f>
        <v>1403</v>
      </c>
      <c r="G165" s="11" t="str">
        <f>VLOOKUP(Table22[[#This Row],[شماره فني]],Sheet7!A:C,3,0)</f>
        <v>کلید شیشه بالابر</v>
      </c>
      <c r="H165" s="11" t="str">
        <f>VLOOKUP(Table22[[#This Row],[شماره فني]],Sheet7!A:B,2,0)</f>
        <v>کلید شیشه بالابر جلو چپ سورن</v>
      </c>
      <c r="I165" s="11" t="s">
        <v>461</v>
      </c>
      <c r="J165" s="11" t="s">
        <v>334</v>
      </c>
      <c r="K165" s="11" t="s">
        <v>261</v>
      </c>
      <c r="L165" s="11" t="s">
        <v>261</v>
      </c>
      <c r="M165" s="11" t="s">
        <v>261</v>
      </c>
      <c r="N165" s="11" t="s">
        <v>261</v>
      </c>
      <c r="O165" s="11" t="s">
        <v>261</v>
      </c>
      <c r="P165" s="11" t="s">
        <v>261</v>
      </c>
      <c r="Q165" s="11" t="s">
        <v>961</v>
      </c>
      <c r="R165" s="11" t="s">
        <v>261</v>
      </c>
      <c r="S165" s="11" t="s">
        <v>261</v>
      </c>
      <c r="T165" s="11" t="s">
        <v>552</v>
      </c>
      <c r="U165" s="11" t="s">
        <v>784</v>
      </c>
      <c r="V165" s="11">
        <v>1</v>
      </c>
      <c r="W165" s="11" t="s">
        <v>306</v>
      </c>
      <c r="X165" s="11" t="s">
        <v>261</v>
      </c>
      <c r="Y165" s="11" t="s">
        <v>261</v>
      </c>
      <c r="Z165" s="11" t="s">
        <v>261</v>
      </c>
      <c r="AA165" s="11" t="s">
        <v>583</v>
      </c>
      <c r="AB165" s="11" t="s">
        <v>261</v>
      </c>
      <c r="AC165" s="11" t="s">
        <v>261</v>
      </c>
      <c r="AD165" s="11" t="s">
        <v>551</v>
      </c>
      <c r="AE165" s="12" t="s">
        <v>261</v>
      </c>
      <c r="AF165" s="11" t="s">
        <v>261</v>
      </c>
    </row>
    <row r="166" spans="1:32" ht="45" hidden="1" x14ac:dyDescent="0.25">
      <c r="A166" s="11">
        <v>1</v>
      </c>
      <c r="B166" s="11">
        <v>206439</v>
      </c>
      <c r="C166" s="11" t="s">
        <v>456</v>
      </c>
      <c r="D166" s="11" t="str">
        <f>MID(Table22[[#This Row],[تاريخ تاييد]],1,7)</f>
        <v>1403/10</v>
      </c>
      <c r="E166" s="11" t="str">
        <f>MID(Table22[[#This Row],[تاريخ تاييد]],6,2)</f>
        <v>10</v>
      </c>
      <c r="F166" s="11" t="str">
        <f>LEFT(Table22[[#This Row],[تاريخ تاييد]],4)</f>
        <v>1403</v>
      </c>
      <c r="G166" s="11" t="str">
        <f>VLOOKUP(Table22[[#This Row],[شماره فني]],Sheet7!A:C,3,0)</f>
        <v>NOD</v>
      </c>
      <c r="H166" s="11" t="str">
        <f>VLOOKUP(Table22[[#This Row],[شماره فني]],Sheet7!A:B,2,0)</f>
        <v>NBCM TARA SAL</v>
      </c>
      <c r="I166" s="11" t="s">
        <v>462</v>
      </c>
      <c r="J166" s="11" t="s">
        <v>726</v>
      </c>
      <c r="K166" s="11" t="s">
        <v>22</v>
      </c>
      <c r="L166" s="11" t="s">
        <v>491</v>
      </c>
      <c r="M166" s="11" t="s">
        <v>261</v>
      </c>
      <c r="N166" s="11" t="s">
        <v>261</v>
      </c>
      <c r="O166" s="11" t="s">
        <v>261</v>
      </c>
      <c r="P166" s="11" t="s">
        <v>261</v>
      </c>
      <c r="Q166" s="11" t="s">
        <v>528</v>
      </c>
      <c r="R166" s="11" t="s">
        <v>812</v>
      </c>
      <c r="S166" s="11" t="s">
        <v>527</v>
      </c>
      <c r="T166" s="11" t="s">
        <v>230</v>
      </c>
      <c r="U166" s="11" t="s">
        <v>561</v>
      </c>
      <c r="V166" s="11">
        <v>1</v>
      </c>
      <c r="W166" s="11" t="s">
        <v>95</v>
      </c>
      <c r="X166" s="11" t="s">
        <v>261</v>
      </c>
      <c r="Y166" s="11" t="s">
        <v>491</v>
      </c>
      <c r="Z166" s="11" t="s">
        <v>66</v>
      </c>
      <c r="AA166" s="11" t="s">
        <v>28</v>
      </c>
      <c r="AB166" s="11" t="s">
        <v>261</v>
      </c>
      <c r="AC166" s="11" t="s">
        <v>261</v>
      </c>
      <c r="AD166" s="11" t="s">
        <v>551</v>
      </c>
      <c r="AE166" s="12" t="s">
        <v>261</v>
      </c>
      <c r="AF166" s="11" t="s">
        <v>261</v>
      </c>
    </row>
    <row r="167" spans="1:32" ht="30" hidden="1" x14ac:dyDescent="0.25">
      <c r="A167" s="11">
        <v>1</v>
      </c>
      <c r="B167" s="11">
        <v>206682</v>
      </c>
      <c r="C167" s="11" t="s">
        <v>463</v>
      </c>
      <c r="D167" s="11" t="str">
        <f>MID(Table22[[#This Row],[تاريخ تاييد]],1,7)</f>
        <v>1403/10</v>
      </c>
      <c r="E167" s="11" t="str">
        <f>MID(Table22[[#This Row],[تاريخ تاييد]],6,2)</f>
        <v>10</v>
      </c>
      <c r="F167" s="11" t="str">
        <f>LEFT(Table22[[#This Row],[تاريخ تاييد]],4)</f>
        <v>1403</v>
      </c>
      <c r="G167" s="11" t="str">
        <f>VLOOKUP(Table22[[#This Row],[شماره فني]],Sheet7!A:C,3,0)</f>
        <v>NOD</v>
      </c>
      <c r="H167" s="11" t="str">
        <f>VLOOKUP(Table22[[#This Row],[شماره فني]],Sheet7!A:B,2,0)</f>
        <v>NBCM 207</v>
      </c>
      <c r="I167" s="11" t="s">
        <v>464</v>
      </c>
      <c r="J167" s="11" t="s">
        <v>334</v>
      </c>
      <c r="K167" s="11" t="s">
        <v>22</v>
      </c>
      <c r="L167" s="11" t="s">
        <v>491</v>
      </c>
      <c r="M167" s="11" t="s">
        <v>261</v>
      </c>
      <c r="N167" s="11" t="s">
        <v>261</v>
      </c>
      <c r="O167" s="11" t="s">
        <v>261</v>
      </c>
      <c r="P167" s="11" t="s">
        <v>261</v>
      </c>
      <c r="Q167" s="11" t="s">
        <v>492</v>
      </c>
      <c r="R167" s="11" t="s">
        <v>493</v>
      </c>
      <c r="S167" s="11" t="s">
        <v>799</v>
      </c>
      <c r="T167" s="11" t="s">
        <v>797</v>
      </c>
      <c r="U167" s="11" t="s">
        <v>561</v>
      </c>
      <c r="V167" s="11">
        <v>1</v>
      </c>
      <c r="W167" s="11" t="s">
        <v>19</v>
      </c>
      <c r="X167" s="11" t="s">
        <v>261</v>
      </c>
      <c r="Y167" s="11" t="s">
        <v>491</v>
      </c>
      <c r="Z167" s="11" t="s">
        <v>66</v>
      </c>
      <c r="AA167" s="11" t="s">
        <v>28</v>
      </c>
      <c r="AB167" s="11" t="s">
        <v>261</v>
      </c>
      <c r="AC167" s="11" t="s">
        <v>261</v>
      </c>
      <c r="AD167" s="11" t="s">
        <v>551</v>
      </c>
      <c r="AE167" s="12" t="s">
        <v>261</v>
      </c>
      <c r="AF167" s="11" t="s">
        <v>261</v>
      </c>
    </row>
    <row r="168" spans="1:32" ht="30" hidden="1" x14ac:dyDescent="0.25">
      <c r="A168" s="11">
        <v>1</v>
      </c>
      <c r="B168" s="11">
        <v>206683</v>
      </c>
      <c r="C168" s="11" t="s">
        <v>463</v>
      </c>
      <c r="D168" s="11" t="str">
        <f>MID(Table22[[#This Row],[تاريخ تاييد]],1,7)</f>
        <v>1403/10</v>
      </c>
      <c r="E168" s="11" t="str">
        <f>MID(Table22[[#This Row],[تاريخ تاييد]],6,2)</f>
        <v>10</v>
      </c>
      <c r="F168" s="11" t="str">
        <f>LEFT(Table22[[#This Row],[تاريخ تاييد]],4)</f>
        <v>1403</v>
      </c>
      <c r="G168" s="11" t="str">
        <f>VLOOKUP(Table22[[#This Row],[شماره فني]],Sheet7!A:C,3,0)</f>
        <v>NOD</v>
      </c>
      <c r="H168" s="11" t="str">
        <f>VLOOKUP(Table22[[#This Row],[شماره فني]],Sheet7!A:B,2,0)</f>
        <v>NBCM 207</v>
      </c>
      <c r="I168" s="11" t="s">
        <v>465</v>
      </c>
      <c r="J168" s="11" t="s">
        <v>725</v>
      </c>
      <c r="K168" s="11" t="s">
        <v>261</v>
      </c>
      <c r="L168" s="11" t="s">
        <v>261</v>
      </c>
      <c r="M168" s="11" t="s">
        <v>261</v>
      </c>
      <c r="N168" s="11" t="s">
        <v>261</v>
      </c>
      <c r="O168" s="11" t="s">
        <v>261</v>
      </c>
      <c r="P168" s="11" t="s">
        <v>261</v>
      </c>
      <c r="Q168" s="11" t="s">
        <v>261</v>
      </c>
      <c r="R168" s="11" t="s">
        <v>261</v>
      </c>
      <c r="S168" s="11" t="s">
        <v>985</v>
      </c>
      <c r="T168" s="11" t="s">
        <v>738</v>
      </c>
      <c r="U168" s="11" t="s">
        <v>737</v>
      </c>
      <c r="V168" s="11">
        <v>30</v>
      </c>
      <c r="W168" s="11" t="s">
        <v>19</v>
      </c>
      <c r="X168" s="11" t="s">
        <v>261</v>
      </c>
      <c r="Y168" s="11" t="s">
        <v>261</v>
      </c>
      <c r="Z168" s="11" t="s">
        <v>261</v>
      </c>
      <c r="AA168" s="11" t="s">
        <v>27</v>
      </c>
      <c r="AB168" s="11" t="s">
        <v>988</v>
      </c>
      <c r="AC168" s="11" t="s">
        <v>261</v>
      </c>
      <c r="AD168" s="11" t="s">
        <v>551</v>
      </c>
      <c r="AE168" s="12" t="s">
        <v>261</v>
      </c>
      <c r="AF168" s="11" t="s">
        <v>261</v>
      </c>
    </row>
    <row r="169" spans="1:32" ht="45" hidden="1" x14ac:dyDescent="0.25">
      <c r="A169" s="11">
        <v>1</v>
      </c>
      <c r="B169" s="11">
        <v>206703</v>
      </c>
      <c r="C169" s="11" t="s">
        <v>463</v>
      </c>
      <c r="D169" s="11" t="str">
        <f>MID(Table22[[#This Row],[تاريخ تاييد]],1,7)</f>
        <v>1403/10</v>
      </c>
      <c r="E169" s="11" t="str">
        <f>MID(Table22[[#This Row],[تاريخ تاييد]],6,2)</f>
        <v>10</v>
      </c>
      <c r="F169" s="11" t="str">
        <f>LEFT(Table22[[#This Row],[تاريخ تاييد]],4)</f>
        <v>1403</v>
      </c>
      <c r="G169" s="11" t="str">
        <f>VLOOKUP(Table22[[#This Row],[شماره فني]],Sheet7!A:C,3,0)</f>
        <v>MFD</v>
      </c>
      <c r="H169" s="11" t="str">
        <f>VLOOKUP(Table22[[#This Row],[شماره فني]],Sheet7!A:B,2,0)</f>
        <v>MFD RUNNA</v>
      </c>
      <c r="I169" s="11" t="s">
        <v>466</v>
      </c>
      <c r="J169" s="11" t="s">
        <v>231</v>
      </c>
      <c r="K169" s="11" t="s">
        <v>22</v>
      </c>
      <c r="L169" s="11" t="s">
        <v>491</v>
      </c>
      <c r="M169" s="11" t="s">
        <v>261</v>
      </c>
      <c r="N169" s="11" t="s">
        <v>261</v>
      </c>
      <c r="O169" s="11" t="s">
        <v>261</v>
      </c>
      <c r="P169" s="11" t="s">
        <v>261</v>
      </c>
      <c r="Q169" s="11" t="s">
        <v>261</v>
      </c>
      <c r="R169" s="11" t="s">
        <v>261</v>
      </c>
      <c r="S169" s="11" t="s">
        <v>231</v>
      </c>
      <c r="T169" s="11" t="s">
        <v>797</v>
      </c>
      <c r="U169" s="11" t="s">
        <v>561</v>
      </c>
      <c r="V169" s="11">
        <v>1</v>
      </c>
      <c r="W169" s="11" t="s">
        <v>121</v>
      </c>
      <c r="X169" s="11" t="s">
        <v>261</v>
      </c>
      <c r="Y169" s="11" t="s">
        <v>491</v>
      </c>
      <c r="Z169" s="11" t="s">
        <v>66</v>
      </c>
      <c r="AA169" s="11" t="s">
        <v>28</v>
      </c>
      <c r="AB169" s="11" t="s">
        <v>261</v>
      </c>
      <c r="AC169" s="11" t="s">
        <v>261</v>
      </c>
      <c r="AD169" s="11" t="s">
        <v>551</v>
      </c>
      <c r="AE169" s="12" t="s">
        <v>261</v>
      </c>
      <c r="AF169" s="11" t="s">
        <v>261</v>
      </c>
    </row>
    <row r="170" spans="1:32" ht="30" hidden="1" x14ac:dyDescent="0.25">
      <c r="A170" s="11">
        <v>1</v>
      </c>
      <c r="B170" s="11">
        <v>206768</v>
      </c>
      <c r="C170" s="11" t="s">
        <v>468</v>
      </c>
      <c r="D170" s="11" t="str">
        <f>MID(Table22[[#This Row],[تاريخ تاييد]],1,7)</f>
        <v>1403/10</v>
      </c>
      <c r="E170" s="11" t="str">
        <f>MID(Table22[[#This Row],[تاريخ تاييد]],6,2)</f>
        <v>10</v>
      </c>
      <c r="F170" s="11" t="str">
        <f>LEFT(Table22[[#This Row],[تاريخ تاييد]],4)</f>
        <v>1403</v>
      </c>
      <c r="G170" s="11" t="str">
        <f>VLOOKUP(Table22[[#This Row],[شماره فني]],Sheet7!A:C,3,0)</f>
        <v>NOD</v>
      </c>
      <c r="H170" s="11" t="str">
        <f>VLOOKUP(Table22[[#This Row],[شماره فني]],Sheet7!A:B,2,0)</f>
        <v>NBCM SOREN</v>
      </c>
      <c r="I170" s="11" t="s">
        <v>469</v>
      </c>
      <c r="J170" s="11" t="s">
        <v>725</v>
      </c>
      <c r="K170" s="11" t="s">
        <v>261</v>
      </c>
      <c r="L170" s="11" t="s">
        <v>261</v>
      </c>
      <c r="M170" s="11" t="s">
        <v>261</v>
      </c>
      <c r="N170" s="11" t="s">
        <v>261</v>
      </c>
      <c r="O170" s="11" t="s">
        <v>261</v>
      </c>
      <c r="P170" s="11" t="s">
        <v>261</v>
      </c>
      <c r="Q170" s="11" t="s">
        <v>261</v>
      </c>
      <c r="R170" s="11" t="s">
        <v>261</v>
      </c>
      <c r="S170" s="11" t="s">
        <v>985</v>
      </c>
      <c r="T170" s="11" t="s">
        <v>738</v>
      </c>
      <c r="U170" s="11" t="s">
        <v>737</v>
      </c>
      <c r="V170" s="11">
        <v>5</v>
      </c>
      <c r="W170" s="11" t="s">
        <v>208</v>
      </c>
      <c r="X170" s="11" t="s">
        <v>261</v>
      </c>
      <c r="Y170" s="11" t="s">
        <v>261</v>
      </c>
      <c r="Z170" s="11" t="s">
        <v>261</v>
      </c>
      <c r="AA170" s="11" t="s">
        <v>27</v>
      </c>
      <c r="AB170" s="11" t="s">
        <v>988</v>
      </c>
      <c r="AC170" s="11" t="s">
        <v>261</v>
      </c>
      <c r="AD170" s="11" t="s">
        <v>551</v>
      </c>
      <c r="AE170" s="12" t="s">
        <v>261</v>
      </c>
      <c r="AF170" s="11" t="s">
        <v>261</v>
      </c>
    </row>
    <row r="171" spans="1:32" ht="45" hidden="1" x14ac:dyDescent="0.25">
      <c r="A171" s="11">
        <v>1</v>
      </c>
      <c r="B171" s="11">
        <v>206854</v>
      </c>
      <c r="C171" s="11" t="s">
        <v>467</v>
      </c>
      <c r="D171" s="11" t="str">
        <f>MID(Table22[[#This Row],[تاريخ تاييد]],1,7)</f>
        <v>1403/10</v>
      </c>
      <c r="E171" s="11" t="str">
        <f>MID(Table22[[#This Row],[تاريخ تاييد]],6,2)</f>
        <v>10</v>
      </c>
      <c r="F171" s="11" t="str">
        <f>LEFT(Table22[[#This Row],[تاريخ تاييد]],4)</f>
        <v>1403</v>
      </c>
      <c r="G171" s="11" t="str">
        <f>VLOOKUP(Table22[[#This Row],[شماره فني]],Sheet7!A:C,3,0)</f>
        <v>کلید شیشه بالابر</v>
      </c>
      <c r="H171" s="11" t="str">
        <f>VLOOKUP(Table22[[#This Row],[شماره فني]],Sheet7!A:B,2,0)</f>
        <v>کلید شیشه بالابر عقب چپ سورن</v>
      </c>
      <c r="I171" s="11" t="s">
        <v>276</v>
      </c>
      <c r="J171" s="11" t="s">
        <v>723</v>
      </c>
      <c r="K171" s="11" t="s">
        <v>261</v>
      </c>
      <c r="L171" s="11" t="s">
        <v>261</v>
      </c>
      <c r="M171" s="11" t="s">
        <v>261</v>
      </c>
      <c r="N171" s="11" t="s">
        <v>261</v>
      </c>
      <c r="O171" s="11" t="s">
        <v>261</v>
      </c>
      <c r="P171" s="11" t="s">
        <v>261</v>
      </c>
      <c r="Q171" s="11" t="s">
        <v>961</v>
      </c>
      <c r="R171" s="11" t="s">
        <v>261</v>
      </c>
      <c r="S171" s="11" t="s">
        <v>261</v>
      </c>
      <c r="T171" s="11" t="s">
        <v>552</v>
      </c>
      <c r="U171" s="11" t="s">
        <v>784</v>
      </c>
      <c r="V171" s="11">
        <v>20</v>
      </c>
      <c r="W171" s="11" t="s">
        <v>287</v>
      </c>
      <c r="X171" s="11" t="s">
        <v>261</v>
      </c>
      <c r="Y171" s="11" t="s">
        <v>261</v>
      </c>
      <c r="Z171" s="11" t="s">
        <v>261</v>
      </c>
      <c r="AA171" s="11" t="s">
        <v>583</v>
      </c>
      <c r="AB171" s="11" t="s">
        <v>261</v>
      </c>
      <c r="AC171" s="11" t="s">
        <v>261</v>
      </c>
      <c r="AD171" s="11" t="s">
        <v>551</v>
      </c>
      <c r="AE171" s="12" t="s">
        <v>261</v>
      </c>
      <c r="AF171" s="11" t="s">
        <v>261</v>
      </c>
    </row>
    <row r="172" spans="1:32" ht="45" hidden="1" x14ac:dyDescent="0.25">
      <c r="A172" s="11">
        <v>1</v>
      </c>
      <c r="B172" s="11">
        <v>206854</v>
      </c>
      <c r="C172" s="11" t="s">
        <v>467</v>
      </c>
      <c r="D172" s="11" t="str">
        <f>MID(Table22[[#This Row],[تاريخ تاييد]],1,7)</f>
        <v>1403/10</v>
      </c>
      <c r="E172" s="11" t="str">
        <f>MID(Table22[[#This Row],[تاريخ تاييد]],6,2)</f>
        <v>10</v>
      </c>
      <c r="F172" s="11" t="str">
        <f>LEFT(Table22[[#This Row],[تاريخ تاييد]],4)</f>
        <v>1403</v>
      </c>
      <c r="G172" s="11" t="str">
        <f>VLOOKUP(Table22[[#This Row],[شماره فني]],Sheet7!A:C,3,0)</f>
        <v>کلید شیشه بالابر</v>
      </c>
      <c r="H172" s="11" t="str">
        <f>VLOOKUP(Table22[[#This Row],[شماره فني]],Sheet7!A:B,2,0)</f>
        <v>کلید شیشه بالابر عقب چپ سورن</v>
      </c>
      <c r="I172" s="11" t="s">
        <v>276</v>
      </c>
      <c r="J172" s="11" t="s">
        <v>723</v>
      </c>
      <c r="K172" s="11" t="s">
        <v>261</v>
      </c>
      <c r="L172" s="11" t="s">
        <v>261</v>
      </c>
      <c r="M172" s="11" t="s">
        <v>261</v>
      </c>
      <c r="N172" s="11" t="s">
        <v>261</v>
      </c>
      <c r="O172" s="11" t="s">
        <v>261</v>
      </c>
      <c r="P172" s="11" t="s">
        <v>261</v>
      </c>
      <c r="Q172" s="11" t="s">
        <v>961</v>
      </c>
      <c r="R172" s="11" t="s">
        <v>261</v>
      </c>
      <c r="S172" s="11" t="s">
        <v>261</v>
      </c>
      <c r="T172" s="11" t="s">
        <v>552</v>
      </c>
      <c r="U172" s="11" t="s">
        <v>784</v>
      </c>
      <c r="V172" s="11">
        <v>20</v>
      </c>
      <c r="W172" s="11" t="s">
        <v>287</v>
      </c>
      <c r="X172" s="11" t="s">
        <v>261</v>
      </c>
      <c r="Y172" s="11" t="s">
        <v>261</v>
      </c>
      <c r="Z172" s="11" t="s">
        <v>261</v>
      </c>
      <c r="AA172" s="11" t="s">
        <v>583</v>
      </c>
      <c r="AB172" s="11" t="s">
        <v>261</v>
      </c>
      <c r="AC172" s="11" t="s">
        <v>261</v>
      </c>
      <c r="AD172" s="11" t="s">
        <v>551</v>
      </c>
      <c r="AE172" s="12" t="s">
        <v>261</v>
      </c>
      <c r="AF172" s="11" t="s">
        <v>261</v>
      </c>
    </row>
    <row r="173" spans="1:32" ht="75" hidden="1" x14ac:dyDescent="0.25">
      <c r="A173" s="11">
        <v>1</v>
      </c>
      <c r="B173" s="11">
        <v>207049</v>
      </c>
      <c r="C173" s="11" t="s">
        <v>470</v>
      </c>
      <c r="D173" s="11" t="str">
        <f>MID(Table22[[#This Row],[تاريخ تاييد]],1,7)</f>
        <v>1403/10</v>
      </c>
      <c r="E173" s="11" t="str">
        <f>MID(Table22[[#This Row],[تاريخ تاييد]],6,2)</f>
        <v>10</v>
      </c>
      <c r="F173" s="11" t="str">
        <f>LEFT(Table22[[#This Row],[تاريخ تاييد]],4)</f>
        <v>1403</v>
      </c>
      <c r="G173" s="11" t="str">
        <f>VLOOKUP(Table22[[#This Row],[شماره فني]],Sheet7!A:C,3,0)</f>
        <v>جلو آمپر</v>
      </c>
      <c r="H173" s="11" t="str">
        <f>VLOOKUP(Table22[[#This Row],[شماره فني]],Sheet7!A:B,2,0)</f>
        <v>جلو آمپر207  معمولی85 گانه</v>
      </c>
      <c r="I173" s="11" t="s">
        <v>471</v>
      </c>
      <c r="J173" s="11" t="s">
        <v>724</v>
      </c>
      <c r="K173" s="11" t="s">
        <v>22</v>
      </c>
      <c r="L173" s="11" t="s">
        <v>491</v>
      </c>
      <c r="M173" s="11" t="s">
        <v>261</v>
      </c>
      <c r="N173" s="11" t="s">
        <v>261</v>
      </c>
      <c r="O173" s="11" t="s">
        <v>261</v>
      </c>
      <c r="P173" s="11" t="s">
        <v>261</v>
      </c>
      <c r="Q173" s="11" t="s">
        <v>494</v>
      </c>
      <c r="R173" s="11" t="s">
        <v>828</v>
      </c>
      <c r="S173" s="11" t="s">
        <v>978</v>
      </c>
      <c r="T173" s="11" t="s">
        <v>809</v>
      </c>
      <c r="U173" s="11" t="s">
        <v>580</v>
      </c>
      <c r="V173" s="11">
        <v>1</v>
      </c>
      <c r="W173" s="11" t="s">
        <v>30</v>
      </c>
      <c r="X173" s="11" t="s">
        <v>261</v>
      </c>
      <c r="Y173" s="11" t="s">
        <v>491</v>
      </c>
      <c r="Z173" s="11" t="s">
        <v>66</v>
      </c>
      <c r="AA173" s="11" t="s">
        <v>27</v>
      </c>
      <c r="AB173" s="11" t="s">
        <v>990</v>
      </c>
      <c r="AC173" s="11" t="s">
        <v>261</v>
      </c>
      <c r="AD173" s="11" t="s">
        <v>551</v>
      </c>
      <c r="AE173" s="12" t="s">
        <v>261</v>
      </c>
      <c r="AF173" s="11" t="s">
        <v>348</v>
      </c>
    </row>
    <row r="174" spans="1:32" ht="45" hidden="1" x14ac:dyDescent="0.25">
      <c r="A174" s="11">
        <v>1</v>
      </c>
      <c r="B174" s="11">
        <v>207369</v>
      </c>
      <c r="C174" s="11" t="s">
        <v>472</v>
      </c>
      <c r="D174" s="11" t="str">
        <f>MID(Table22[[#This Row],[تاريخ تاييد]],1,7)</f>
        <v>1403/10</v>
      </c>
      <c r="E174" s="11" t="str">
        <f>MID(Table22[[#This Row],[تاريخ تاييد]],6,2)</f>
        <v>10</v>
      </c>
      <c r="F174" s="11" t="str">
        <f>LEFT(Table22[[#This Row],[تاريخ تاييد]],4)</f>
        <v>1403</v>
      </c>
      <c r="G174" s="11" t="str">
        <f>VLOOKUP(Table22[[#This Row],[شماره فني]],Sheet7!A:C,3,0)</f>
        <v>MFD</v>
      </c>
      <c r="H174" s="11" t="str">
        <f>VLOOKUP(Table22[[#This Row],[شماره فني]],Sheet7!A:B,2,0)</f>
        <v>MFD RUNNA</v>
      </c>
      <c r="I174" s="11" t="s">
        <v>473</v>
      </c>
      <c r="J174" s="11" t="s">
        <v>231</v>
      </c>
      <c r="K174" s="11" t="s">
        <v>261</v>
      </c>
      <c r="L174" s="11" t="s">
        <v>261</v>
      </c>
      <c r="M174" s="11" t="s">
        <v>261</v>
      </c>
      <c r="N174" s="11" t="s">
        <v>261</v>
      </c>
      <c r="O174" s="11" t="s">
        <v>261</v>
      </c>
      <c r="P174" s="11" t="s">
        <v>261</v>
      </c>
      <c r="Q174" s="11" t="s">
        <v>261</v>
      </c>
      <c r="R174" s="11" t="s">
        <v>732</v>
      </c>
      <c r="S174" s="11" t="s">
        <v>817</v>
      </c>
      <c r="T174" s="11" t="s">
        <v>809</v>
      </c>
      <c r="U174" s="11" t="s">
        <v>734</v>
      </c>
      <c r="V174" s="11">
        <v>1</v>
      </c>
      <c r="W174" s="11" t="s">
        <v>121</v>
      </c>
      <c r="X174" s="11" t="s">
        <v>261</v>
      </c>
      <c r="Y174" s="11" t="s">
        <v>529</v>
      </c>
      <c r="Z174" s="11" t="s">
        <v>66</v>
      </c>
      <c r="AA174" s="11" t="s">
        <v>28</v>
      </c>
      <c r="AB174" s="11" t="s">
        <v>261</v>
      </c>
      <c r="AC174" s="11" t="s">
        <v>261</v>
      </c>
      <c r="AD174" s="11" t="s">
        <v>551</v>
      </c>
      <c r="AE174" s="12" t="s">
        <v>733</v>
      </c>
      <c r="AF174" s="11" t="s">
        <v>261</v>
      </c>
    </row>
    <row r="175" spans="1:32" ht="30" hidden="1" x14ac:dyDescent="0.25">
      <c r="A175" s="11">
        <v>1</v>
      </c>
      <c r="B175" s="11">
        <v>207404</v>
      </c>
      <c r="C175" s="11" t="s">
        <v>474</v>
      </c>
      <c r="D175" s="11" t="str">
        <f>MID(Table22[[#This Row],[تاريخ تاييد]],1,7)</f>
        <v>1403/10</v>
      </c>
      <c r="E175" s="11" t="str">
        <f>MID(Table22[[#This Row],[تاريخ تاييد]],6,2)</f>
        <v>10</v>
      </c>
      <c r="F175" s="11" t="str">
        <f>LEFT(Table22[[#This Row],[تاريخ تاييد]],4)</f>
        <v>1403</v>
      </c>
      <c r="G175" s="11" t="str">
        <f>VLOOKUP(Table22[[#This Row],[شماره فني]],Sheet7!A:C,3,0)</f>
        <v>جلو آمپر</v>
      </c>
      <c r="H175" s="11" t="str">
        <f>VLOOKUP(Table22[[#This Row],[شماره فني]],Sheet7!A:B,2,0)</f>
        <v>جلو آمپر207  معمولی85 گانه</v>
      </c>
      <c r="I175" s="11" t="s">
        <v>475</v>
      </c>
      <c r="J175" s="11" t="s">
        <v>233</v>
      </c>
      <c r="K175" s="11" t="s">
        <v>22</v>
      </c>
      <c r="L175" s="11" t="s">
        <v>515</v>
      </c>
      <c r="M175" s="11" t="s">
        <v>261</v>
      </c>
      <c r="N175" s="11" t="s">
        <v>261</v>
      </c>
      <c r="O175" s="11" t="s">
        <v>261</v>
      </c>
      <c r="P175" s="11" t="s">
        <v>261</v>
      </c>
      <c r="Q175" s="11" t="s">
        <v>516</v>
      </c>
      <c r="R175" s="11" t="s">
        <v>182</v>
      </c>
      <c r="S175" s="11" t="s">
        <v>803</v>
      </c>
      <c r="T175" s="11" t="s">
        <v>797</v>
      </c>
      <c r="U175" s="11" t="s">
        <v>561</v>
      </c>
      <c r="V175" s="11">
        <v>1</v>
      </c>
      <c r="W175" s="11" t="s">
        <v>30</v>
      </c>
      <c r="X175" s="11" t="s">
        <v>261</v>
      </c>
      <c r="Y175" s="11" t="s">
        <v>515</v>
      </c>
      <c r="Z175" s="11" t="s">
        <v>66</v>
      </c>
      <c r="AA175" s="11" t="s">
        <v>28</v>
      </c>
      <c r="AB175" s="11" t="s">
        <v>261</v>
      </c>
      <c r="AC175" s="11" t="s">
        <v>261</v>
      </c>
      <c r="AD175" s="11" t="s">
        <v>551</v>
      </c>
      <c r="AE175" s="12" t="s">
        <v>261</v>
      </c>
      <c r="AF175" s="11" t="s">
        <v>261</v>
      </c>
    </row>
    <row r="176" spans="1:32" ht="45" hidden="1" x14ac:dyDescent="0.25">
      <c r="A176" s="11">
        <v>1</v>
      </c>
      <c r="B176" s="11">
        <v>207407</v>
      </c>
      <c r="C176" s="11" t="s">
        <v>480</v>
      </c>
      <c r="D176" s="11" t="str">
        <f>MID(Table22[[#This Row],[تاريخ تاييد]],1,7)</f>
        <v>1403/10</v>
      </c>
      <c r="E176" s="11" t="str">
        <f>MID(Table22[[#This Row],[تاريخ تاييد]],6,2)</f>
        <v>10</v>
      </c>
      <c r="F176" s="11" t="str">
        <f>LEFT(Table22[[#This Row],[تاريخ تاييد]],4)</f>
        <v>1403</v>
      </c>
      <c r="G176" s="11" t="str">
        <f>VLOOKUP(Table22[[#This Row],[شماره فني]],Sheet7!A:C,3,0)</f>
        <v>NOD</v>
      </c>
      <c r="H176" s="11" t="str">
        <f>VLOOKUP(Table22[[#This Row],[شماره فني]],Sheet7!A:B,2,0)</f>
        <v>NBCM SOREN</v>
      </c>
      <c r="I176" s="11" t="s">
        <v>481</v>
      </c>
      <c r="J176" s="11" t="s">
        <v>485</v>
      </c>
      <c r="K176" s="11" t="s">
        <v>261</v>
      </c>
      <c r="L176" s="11" t="s">
        <v>261</v>
      </c>
      <c r="M176" s="11" t="s">
        <v>261</v>
      </c>
      <c r="N176" s="11" t="s">
        <v>261</v>
      </c>
      <c r="O176" s="11" t="s">
        <v>261</v>
      </c>
      <c r="P176" s="11" t="s">
        <v>261</v>
      </c>
      <c r="Q176" s="11" t="s">
        <v>961</v>
      </c>
      <c r="R176" s="11" t="s">
        <v>261</v>
      </c>
      <c r="S176" s="11" t="s">
        <v>261</v>
      </c>
      <c r="T176" s="11" t="s">
        <v>552</v>
      </c>
      <c r="U176" s="11" t="s">
        <v>784</v>
      </c>
      <c r="V176" s="11">
        <v>1</v>
      </c>
      <c r="W176" s="11" t="s">
        <v>208</v>
      </c>
      <c r="X176" s="11" t="s">
        <v>261</v>
      </c>
      <c r="Y176" s="11" t="s">
        <v>261</v>
      </c>
      <c r="Z176" s="11" t="s">
        <v>261</v>
      </c>
      <c r="AA176" s="11" t="s">
        <v>583</v>
      </c>
      <c r="AB176" s="11" t="s">
        <v>261</v>
      </c>
      <c r="AC176" s="11" t="s">
        <v>261</v>
      </c>
      <c r="AD176" s="11" t="s">
        <v>551</v>
      </c>
      <c r="AE176" s="12" t="s">
        <v>261</v>
      </c>
      <c r="AF176" s="11" t="s">
        <v>261</v>
      </c>
    </row>
    <row r="177" spans="1:32" ht="30" hidden="1" x14ac:dyDescent="0.25">
      <c r="A177" s="11">
        <v>1</v>
      </c>
      <c r="B177" s="11">
        <v>207663</v>
      </c>
      <c r="C177" s="11" t="s">
        <v>482</v>
      </c>
      <c r="D177" s="11" t="str">
        <f>MID(Table22[[#This Row],[تاريخ تاييد]],1,7)</f>
        <v>1403/10</v>
      </c>
      <c r="E177" s="11" t="str">
        <f>MID(Table22[[#This Row],[تاريخ تاييد]],6,2)</f>
        <v>10</v>
      </c>
      <c r="F177" s="11" t="str">
        <f>LEFT(Table22[[#This Row],[تاريخ تاييد]],4)</f>
        <v>1403</v>
      </c>
      <c r="G177" s="11" t="str">
        <f>VLOOKUP(Table22[[#This Row],[شماره فني]],Sheet7!A:C,3,0)</f>
        <v>جلو آمپر</v>
      </c>
      <c r="H177" s="11" t="str">
        <f>VLOOKUP(Table22[[#This Row],[شماره فني]],Sheet7!A:B,2,0)</f>
        <v>جلو آمپر تارا دستی</v>
      </c>
      <c r="I177" s="11" t="s">
        <v>483</v>
      </c>
      <c r="J177" s="11" t="s">
        <v>729</v>
      </c>
      <c r="K177" s="11" t="s">
        <v>22</v>
      </c>
      <c r="L177" s="11" t="s">
        <v>515</v>
      </c>
      <c r="M177" s="11" t="s">
        <v>261</v>
      </c>
      <c r="N177" s="11" t="s">
        <v>261</v>
      </c>
      <c r="O177" s="11" t="s">
        <v>261</v>
      </c>
      <c r="P177" s="11" t="s">
        <v>261</v>
      </c>
      <c r="Q177" s="11" t="s">
        <v>224</v>
      </c>
      <c r="R177" s="11" t="s">
        <v>517</v>
      </c>
      <c r="S177" s="11" t="s">
        <v>803</v>
      </c>
      <c r="T177" s="11" t="s">
        <v>797</v>
      </c>
      <c r="U177" s="11" t="s">
        <v>561</v>
      </c>
      <c r="V177" s="11">
        <v>1</v>
      </c>
      <c r="W177" s="11" t="s">
        <v>97</v>
      </c>
      <c r="X177" s="11" t="s">
        <v>261</v>
      </c>
      <c r="Y177" s="11" t="s">
        <v>515</v>
      </c>
      <c r="Z177" s="11" t="s">
        <v>66</v>
      </c>
      <c r="AA177" s="11" t="s">
        <v>28</v>
      </c>
      <c r="AB177" s="11" t="s">
        <v>261</v>
      </c>
      <c r="AC177" s="11" t="s">
        <v>261</v>
      </c>
      <c r="AD177" s="11" t="s">
        <v>551</v>
      </c>
      <c r="AE177" s="12" t="s">
        <v>261</v>
      </c>
      <c r="AF177" s="11" t="s">
        <v>261</v>
      </c>
    </row>
    <row r="178" spans="1:32" ht="30" hidden="1" x14ac:dyDescent="0.25">
      <c r="A178" s="11">
        <v>1</v>
      </c>
      <c r="B178" s="11">
        <v>207664</v>
      </c>
      <c r="C178" s="11" t="s">
        <v>482</v>
      </c>
      <c r="D178" s="11" t="str">
        <f>MID(Table22[[#This Row],[تاريخ تاييد]],1,7)</f>
        <v>1403/10</v>
      </c>
      <c r="E178" s="11" t="str">
        <f>MID(Table22[[#This Row],[تاريخ تاييد]],6,2)</f>
        <v>10</v>
      </c>
      <c r="F178" s="11" t="str">
        <f>LEFT(Table22[[#This Row],[تاريخ تاييد]],4)</f>
        <v>1403</v>
      </c>
      <c r="G178" s="11" t="str">
        <f>VLOOKUP(Table22[[#This Row],[شماره فني]],Sheet7!A:C,3,0)</f>
        <v>جلو آمپر</v>
      </c>
      <c r="H178" s="11" t="str">
        <f>VLOOKUP(Table22[[#This Row],[شماره فني]],Sheet7!A:B,2,0)</f>
        <v>جلو آمپر تارا اتوماتیک</v>
      </c>
      <c r="I178" s="11" t="s">
        <v>484</v>
      </c>
      <c r="J178" s="11" t="s">
        <v>233</v>
      </c>
      <c r="K178" s="11" t="s">
        <v>22</v>
      </c>
      <c r="L178" s="11" t="s">
        <v>532</v>
      </c>
      <c r="M178" s="11" t="s">
        <v>261</v>
      </c>
      <c r="N178" s="11" t="s">
        <v>261</v>
      </c>
      <c r="O178" s="11" t="s">
        <v>261</v>
      </c>
      <c r="P178" s="11" t="s">
        <v>261</v>
      </c>
      <c r="Q178" s="11" t="s">
        <v>224</v>
      </c>
      <c r="R178" s="11" t="s">
        <v>533</v>
      </c>
      <c r="S178" s="11" t="s">
        <v>803</v>
      </c>
      <c r="T178" s="11" t="s">
        <v>797</v>
      </c>
      <c r="U178" s="11" t="s">
        <v>561</v>
      </c>
      <c r="V178" s="11">
        <v>1</v>
      </c>
      <c r="W178" s="11" t="s">
        <v>20</v>
      </c>
      <c r="X178" s="11" t="s">
        <v>261</v>
      </c>
      <c r="Y178" s="11" t="s">
        <v>532</v>
      </c>
      <c r="Z178" s="11" t="s">
        <v>66</v>
      </c>
      <c r="AA178" s="11" t="s">
        <v>28</v>
      </c>
      <c r="AB178" s="11" t="s">
        <v>261</v>
      </c>
      <c r="AC178" s="11" t="s">
        <v>261</v>
      </c>
      <c r="AD178" s="11" t="s">
        <v>551</v>
      </c>
      <c r="AE178" s="12" t="s">
        <v>261</v>
      </c>
      <c r="AF178" s="11" t="s">
        <v>261</v>
      </c>
    </row>
    <row r="179" spans="1:32" ht="30" hidden="1" x14ac:dyDescent="0.25">
      <c r="A179" s="11">
        <v>1</v>
      </c>
      <c r="B179" s="11">
        <v>207945</v>
      </c>
      <c r="C179" s="11" t="s">
        <v>495</v>
      </c>
      <c r="D179" s="11" t="str">
        <f>MID(Table22[[#This Row],[تاريخ تاييد]],1,7)</f>
        <v>1403/10</v>
      </c>
      <c r="E179" s="11" t="str">
        <f>MID(Table22[[#This Row],[تاريخ تاييد]],6,2)</f>
        <v>10</v>
      </c>
      <c r="F179" s="11" t="str">
        <f>LEFT(Table22[[#This Row],[تاريخ تاييد]],4)</f>
        <v>1403</v>
      </c>
      <c r="G179" s="11" t="str">
        <f>VLOOKUP(Table22[[#This Row],[شماره فني]],Sheet7!A:C,3,0)</f>
        <v>جلو آمپر</v>
      </c>
      <c r="H179" s="11" t="str">
        <f>VLOOKUP(Table22[[#This Row],[شماره فني]],Sheet7!A:B,2,0)</f>
        <v>جلو آمپر207 اتوماتیک85 گانه</v>
      </c>
      <c r="I179" s="11" t="s">
        <v>496</v>
      </c>
      <c r="J179" s="11" t="s">
        <v>729</v>
      </c>
      <c r="K179" s="11" t="s">
        <v>23</v>
      </c>
      <c r="L179" s="11" t="s">
        <v>529</v>
      </c>
      <c r="M179" s="11" t="s">
        <v>261</v>
      </c>
      <c r="N179" s="11" t="s">
        <v>261</v>
      </c>
      <c r="O179" s="11" t="s">
        <v>261</v>
      </c>
      <c r="P179" s="11" t="s">
        <v>261</v>
      </c>
      <c r="Q179" s="11" t="s">
        <v>355</v>
      </c>
      <c r="R179" s="11" t="s">
        <v>261</v>
      </c>
      <c r="S179" s="11" t="s">
        <v>261</v>
      </c>
      <c r="T179" s="11" t="s">
        <v>583</v>
      </c>
      <c r="U179" s="11" t="s">
        <v>583</v>
      </c>
      <c r="V179" s="11">
        <v>1</v>
      </c>
      <c r="W179" s="11" t="s">
        <v>31</v>
      </c>
      <c r="X179" s="11" t="s">
        <v>261</v>
      </c>
      <c r="Y179" s="11" t="s">
        <v>529</v>
      </c>
      <c r="Z179" s="11" t="s">
        <v>66</v>
      </c>
      <c r="AA179" s="11" t="s">
        <v>583</v>
      </c>
      <c r="AB179" s="11" t="s">
        <v>261</v>
      </c>
      <c r="AC179" s="11" t="s">
        <v>261</v>
      </c>
      <c r="AD179" s="11" t="s">
        <v>551</v>
      </c>
      <c r="AE179" s="12" t="s">
        <v>261</v>
      </c>
      <c r="AF179" s="11" t="s">
        <v>261</v>
      </c>
    </row>
    <row r="180" spans="1:32" ht="30" hidden="1" x14ac:dyDescent="0.25">
      <c r="A180" s="11">
        <v>1</v>
      </c>
      <c r="B180" s="11">
        <v>207991</v>
      </c>
      <c r="C180" s="11" t="s">
        <v>495</v>
      </c>
      <c r="D180" s="11" t="str">
        <f>MID(Table22[[#This Row],[تاريخ تاييد]],1,7)</f>
        <v>1403/10</v>
      </c>
      <c r="E180" s="11" t="str">
        <f>MID(Table22[[#This Row],[تاريخ تاييد]],6,2)</f>
        <v>10</v>
      </c>
      <c r="F180" s="11" t="str">
        <f>LEFT(Table22[[#This Row],[تاريخ تاييد]],4)</f>
        <v>1403</v>
      </c>
      <c r="G180" s="11" t="str">
        <f>VLOOKUP(Table22[[#This Row],[شماره فني]],Sheet7!A:C,3,0)</f>
        <v>NOD</v>
      </c>
      <c r="H180" s="11" t="str">
        <f>VLOOKUP(Table22[[#This Row],[شماره فني]],Sheet7!A:B,2,0)</f>
        <v>SBM 207</v>
      </c>
      <c r="I180" s="11" t="s">
        <v>497</v>
      </c>
      <c r="J180" s="11" t="s">
        <v>725</v>
      </c>
      <c r="K180" s="11" t="s">
        <v>261</v>
      </c>
      <c r="L180" s="11" t="s">
        <v>261</v>
      </c>
      <c r="M180" s="11" t="s">
        <v>261</v>
      </c>
      <c r="N180" s="11" t="s">
        <v>261</v>
      </c>
      <c r="O180" s="11" t="s">
        <v>261</v>
      </c>
      <c r="P180" s="11" t="s">
        <v>261</v>
      </c>
      <c r="Q180" s="11" t="s">
        <v>261</v>
      </c>
      <c r="R180" s="11" t="s">
        <v>261</v>
      </c>
      <c r="S180" s="11" t="s">
        <v>985</v>
      </c>
      <c r="T180" s="11" t="s">
        <v>735</v>
      </c>
      <c r="U180" s="11" t="s">
        <v>736</v>
      </c>
      <c r="V180" s="11">
        <v>3</v>
      </c>
      <c r="W180" s="11" t="s">
        <v>514</v>
      </c>
      <c r="X180" s="11" t="s">
        <v>261</v>
      </c>
      <c r="Y180" s="11" t="s">
        <v>261</v>
      </c>
      <c r="Z180" s="11" t="s">
        <v>261</v>
      </c>
      <c r="AA180" s="11" t="s">
        <v>29</v>
      </c>
      <c r="AB180" s="11" t="s">
        <v>261</v>
      </c>
      <c r="AC180" s="11" t="s">
        <v>261</v>
      </c>
      <c r="AD180" s="11" t="s">
        <v>551</v>
      </c>
      <c r="AE180" s="12" t="s">
        <v>261</v>
      </c>
      <c r="AF180" s="11" t="s">
        <v>261</v>
      </c>
    </row>
    <row r="181" spans="1:32" ht="45" hidden="1" x14ac:dyDescent="0.25">
      <c r="A181" s="11">
        <v>1</v>
      </c>
      <c r="B181" s="11">
        <v>208016</v>
      </c>
      <c r="C181" s="11" t="s">
        <v>495</v>
      </c>
      <c r="D181" s="11" t="str">
        <f>MID(Table22[[#This Row],[تاريخ تاييد]],1,7)</f>
        <v>1403/10</v>
      </c>
      <c r="E181" s="11" t="str">
        <f>MID(Table22[[#This Row],[تاريخ تاييد]],6,2)</f>
        <v>10</v>
      </c>
      <c r="F181" s="11" t="str">
        <f>LEFT(Table22[[#This Row],[تاريخ تاييد]],4)</f>
        <v>1403</v>
      </c>
      <c r="G181" s="11" t="str">
        <f>VLOOKUP(Table22[[#This Row],[شماره فني]],Sheet7!A:C,3,0)</f>
        <v>جلو آمپر</v>
      </c>
      <c r="H181" s="11" t="str">
        <f>VLOOKUP(Table22[[#This Row],[شماره فني]],Sheet7!A:B,2,0)</f>
        <v>جلو آمپر دنا اتوماتیک</v>
      </c>
      <c r="I181" s="11" t="s">
        <v>498</v>
      </c>
      <c r="J181" s="11" t="s">
        <v>724</v>
      </c>
      <c r="K181" s="11" t="s">
        <v>261</v>
      </c>
      <c r="L181" s="11" t="s">
        <v>261</v>
      </c>
      <c r="M181" s="11" t="s">
        <v>261</v>
      </c>
      <c r="N181" s="11" t="s">
        <v>261</v>
      </c>
      <c r="O181" s="11" t="s">
        <v>261</v>
      </c>
      <c r="P181" s="11" t="s">
        <v>261</v>
      </c>
      <c r="Q181" s="11" t="s">
        <v>961</v>
      </c>
      <c r="R181" s="11" t="s">
        <v>261</v>
      </c>
      <c r="S181" s="11" t="s">
        <v>261</v>
      </c>
      <c r="T181" s="11" t="s">
        <v>552</v>
      </c>
      <c r="U181" s="11" t="s">
        <v>784</v>
      </c>
      <c r="V181" s="11">
        <v>1</v>
      </c>
      <c r="W181" s="11" t="s">
        <v>21</v>
      </c>
      <c r="X181" s="11" t="s">
        <v>261</v>
      </c>
      <c r="Y181" s="11" t="s">
        <v>261</v>
      </c>
      <c r="Z181" s="11" t="s">
        <v>261</v>
      </c>
      <c r="AA181" s="11" t="s">
        <v>583</v>
      </c>
      <c r="AB181" s="11" t="s">
        <v>261</v>
      </c>
      <c r="AC181" s="11" t="s">
        <v>261</v>
      </c>
      <c r="AD181" s="11" t="s">
        <v>551</v>
      </c>
      <c r="AE181" s="12" t="s">
        <v>261</v>
      </c>
      <c r="AF181" s="11" t="s">
        <v>261</v>
      </c>
    </row>
    <row r="182" spans="1:32" ht="45" hidden="1" x14ac:dyDescent="0.25">
      <c r="A182" s="11">
        <v>1</v>
      </c>
      <c r="B182" s="11">
        <v>208024</v>
      </c>
      <c r="C182" s="11" t="s">
        <v>495</v>
      </c>
      <c r="D182" s="11" t="str">
        <f>MID(Table22[[#This Row],[تاريخ تاييد]],1,7)</f>
        <v>1403/10</v>
      </c>
      <c r="E182" s="11" t="str">
        <f>MID(Table22[[#This Row],[تاريخ تاييد]],6,2)</f>
        <v>10</v>
      </c>
      <c r="F182" s="11" t="str">
        <f>LEFT(Table22[[#This Row],[تاريخ تاييد]],4)</f>
        <v>1403</v>
      </c>
      <c r="G182" s="11" t="str">
        <f>VLOOKUP(Table22[[#This Row],[شماره فني]],Sheet7!A:C,3,0)</f>
        <v>NOD</v>
      </c>
      <c r="H182" s="11" t="str">
        <f>VLOOKUP(Table22[[#This Row],[شماره فني]],Sheet7!A:B,2,0)</f>
        <v>NBCM DENA</v>
      </c>
      <c r="I182" s="11" t="s">
        <v>499</v>
      </c>
      <c r="J182" s="11" t="s">
        <v>334</v>
      </c>
      <c r="K182" s="11" t="s">
        <v>261</v>
      </c>
      <c r="L182" s="11" t="s">
        <v>261</v>
      </c>
      <c r="M182" s="11" t="s">
        <v>261</v>
      </c>
      <c r="N182" s="11" t="s">
        <v>261</v>
      </c>
      <c r="O182" s="11" t="s">
        <v>261</v>
      </c>
      <c r="P182" s="11" t="s">
        <v>261</v>
      </c>
      <c r="Q182" s="11" t="s">
        <v>961</v>
      </c>
      <c r="R182" s="11" t="s">
        <v>261</v>
      </c>
      <c r="S182" s="11" t="s">
        <v>261</v>
      </c>
      <c r="T182" s="11" t="s">
        <v>552</v>
      </c>
      <c r="U182" s="11" t="s">
        <v>784</v>
      </c>
      <c r="V182" s="11">
        <v>1</v>
      </c>
      <c r="W182" s="11" t="s">
        <v>16</v>
      </c>
      <c r="X182" s="11" t="s">
        <v>261</v>
      </c>
      <c r="Y182" s="11" t="s">
        <v>261</v>
      </c>
      <c r="Z182" s="11" t="s">
        <v>261</v>
      </c>
      <c r="AA182" s="11" t="s">
        <v>583</v>
      </c>
      <c r="AB182" s="11" t="s">
        <v>261</v>
      </c>
      <c r="AC182" s="11" t="s">
        <v>261</v>
      </c>
      <c r="AD182" s="11" t="s">
        <v>551</v>
      </c>
      <c r="AE182" s="12" t="s">
        <v>261</v>
      </c>
      <c r="AF182" s="11" t="s">
        <v>261</v>
      </c>
    </row>
    <row r="183" spans="1:32" ht="45" hidden="1" x14ac:dyDescent="0.25">
      <c r="A183" s="11">
        <v>1</v>
      </c>
      <c r="B183" s="11">
        <v>208095</v>
      </c>
      <c r="C183" s="11" t="s">
        <v>500</v>
      </c>
      <c r="D183" s="11" t="str">
        <f>MID(Table22[[#This Row],[تاريخ تاييد]],1,7)</f>
        <v>1403/10</v>
      </c>
      <c r="E183" s="11" t="str">
        <f>MID(Table22[[#This Row],[تاريخ تاييد]],6,2)</f>
        <v>10</v>
      </c>
      <c r="F183" s="11" t="str">
        <f>LEFT(Table22[[#This Row],[تاريخ تاييد]],4)</f>
        <v>1403</v>
      </c>
      <c r="G183" s="11" t="str">
        <f>VLOOKUP(Table22[[#This Row],[شماره فني]],Sheet7!A:C,3,0)</f>
        <v>جلو آمپر</v>
      </c>
      <c r="H183" s="11" t="str">
        <f>VLOOKUP(Table22[[#This Row],[شماره فني]],Sheet7!A:B,2,0)</f>
        <v>جلو آمپر تارا دستی</v>
      </c>
      <c r="I183" s="11" t="s">
        <v>501</v>
      </c>
      <c r="J183" s="11" t="s">
        <v>233</v>
      </c>
      <c r="K183" s="11" t="s">
        <v>261</v>
      </c>
      <c r="L183" s="11" t="s">
        <v>261</v>
      </c>
      <c r="M183" s="11" t="s">
        <v>261</v>
      </c>
      <c r="N183" s="11" t="s">
        <v>261</v>
      </c>
      <c r="O183" s="11" t="s">
        <v>261</v>
      </c>
      <c r="P183" s="11" t="s">
        <v>261</v>
      </c>
      <c r="Q183" s="11" t="s">
        <v>961</v>
      </c>
      <c r="R183" s="11" t="s">
        <v>261</v>
      </c>
      <c r="S183" s="11" t="s">
        <v>261</v>
      </c>
      <c r="T183" s="11" t="s">
        <v>552</v>
      </c>
      <c r="U183" s="11" t="s">
        <v>784</v>
      </c>
      <c r="V183" s="11">
        <v>1</v>
      </c>
      <c r="W183" s="11" t="s">
        <v>97</v>
      </c>
      <c r="X183" s="11" t="s">
        <v>261</v>
      </c>
      <c r="Y183" s="11" t="s">
        <v>261</v>
      </c>
      <c r="Z183" s="11" t="s">
        <v>261</v>
      </c>
      <c r="AA183" s="11" t="s">
        <v>583</v>
      </c>
      <c r="AB183" s="11" t="s">
        <v>261</v>
      </c>
      <c r="AC183" s="11" t="s">
        <v>261</v>
      </c>
      <c r="AD183" s="11" t="s">
        <v>551</v>
      </c>
      <c r="AE183" s="12" t="s">
        <v>261</v>
      </c>
      <c r="AF183" s="11" t="s">
        <v>261</v>
      </c>
    </row>
    <row r="184" spans="1:32" ht="45" hidden="1" x14ac:dyDescent="0.25">
      <c r="A184" s="11">
        <v>1</v>
      </c>
      <c r="B184" s="11">
        <v>208096</v>
      </c>
      <c r="C184" s="11" t="s">
        <v>500</v>
      </c>
      <c r="D184" s="11" t="str">
        <f>MID(Table22[[#This Row],[تاريخ تاييد]],1,7)</f>
        <v>1403/10</v>
      </c>
      <c r="E184" s="11" t="str">
        <f>MID(Table22[[#This Row],[تاريخ تاييد]],6,2)</f>
        <v>10</v>
      </c>
      <c r="F184" s="11" t="str">
        <f>LEFT(Table22[[#This Row],[تاريخ تاييد]],4)</f>
        <v>1403</v>
      </c>
      <c r="G184" s="11" t="str">
        <f>VLOOKUP(Table22[[#This Row],[شماره فني]],Sheet7!A:C,3,0)</f>
        <v>جلو آمپر</v>
      </c>
      <c r="H184" s="11" t="str">
        <f>VLOOKUP(Table22[[#This Row],[شماره فني]],Sheet7!A:B,2,0)</f>
        <v>جلو آمپرSOREN TC 85 گانه</v>
      </c>
      <c r="I184" s="11" t="s">
        <v>502</v>
      </c>
      <c r="J184" s="11" t="s">
        <v>231</v>
      </c>
      <c r="K184" s="11" t="s">
        <v>261</v>
      </c>
      <c r="L184" s="11" t="s">
        <v>261</v>
      </c>
      <c r="M184" s="11" t="s">
        <v>261</v>
      </c>
      <c r="N184" s="11" t="s">
        <v>261</v>
      </c>
      <c r="O184" s="11" t="s">
        <v>261</v>
      </c>
      <c r="P184" s="11" t="s">
        <v>261</v>
      </c>
      <c r="Q184" s="11" t="s">
        <v>961</v>
      </c>
      <c r="R184" s="11" t="s">
        <v>261</v>
      </c>
      <c r="S184" s="11" t="s">
        <v>261</v>
      </c>
      <c r="T184" s="11" t="s">
        <v>552</v>
      </c>
      <c r="U184" s="11" t="s">
        <v>784</v>
      </c>
      <c r="V184" s="11">
        <v>2</v>
      </c>
      <c r="W184" s="11" t="s">
        <v>32</v>
      </c>
      <c r="X184" s="11" t="s">
        <v>261</v>
      </c>
      <c r="Y184" s="11" t="s">
        <v>261</v>
      </c>
      <c r="Z184" s="11" t="s">
        <v>261</v>
      </c>
      <c r="AA184" s="11" t="s">
        <v>583</v>
      </c>
      <c r="AB184" s="11" t="s">
        <v>261</v>
      </c>
      <c r="AC184" s="11" t="s">
        <v>261</v>
      </c>
      <c r="AD184" s="11" t="s">
        <v>551</v>
      </c>
      <c r="AE184" s="12" t="s">
        <v>261</v>
      </c>
      <c r="AF184" s="11" t="s">
        <v>261</v>
      </c>
    </row>
    <row r="185" spans="1:32" ht="30" hidden="1" x14ac:dyDescent="0.25">
      <c r="A185" s="11">
        <v>1</v>
      </c>
      <c r="B185" s="11">
        <v>208289</v>
      </c>
      <c r="C185" s="11" t="s">
        <v>503</v>
      </c>
      <c r="D185" s="11" t="str">
        <f>MID(Table22[[#This Row],[تاريخ تاييد]],1,7)</f>
        <v>1403/11</v>
      </c>
      <c r="E185" s="11" t="str">
        <f>MID(Table22[[#This Row],[تاريخ تاييد]],6,2)</f>
        <v>11</v>
      </c>
      <c r="F185" s="11" t="str">
        <f>LEFT(Table22[[#This Row],[تاريخ تاييد]],4)</f>
        <v>1403</v>
      </c>
      <c r="G185" s="11" t="str">
        <f>VLOOKUP(Table22[[#This Row],[شماره فني]],Sheet7!A:C,3,0)</f>
        <v>جلو آمپر</v>
      </c>
      <c r="H185" s="11" t="str">
        <f>VLOOKUP(Table22[[#This Row],[شماره فني]],Sheet7!A:B,2,0)</f>
        <v>جلو آمپر تارا اتوماتیک</v>
      </c>
      <c r="I185" s="11" t="s">
        <v>504</v>
      </c>
      <c r="J185" s="11" t="s">
        <v>233</v>
      </c>
      <c r="K185" s="11" t="s">
        <v>22</v>
      </c>
      <c r="L185" s="11" t="s">
        <v>529</v>
      </c>
      <c r="M185" s="11" t="s">
        <v>261</v>
      </c>
      <c r="N185" s="11" t="s">
        <v>261</v>
      </c>
      <c r="O185" s="11" t="s">
        <v>261</v>
      </c>
      <c r="P185" s="11" t="s">
        <v>261</v>
      </c>
      <c r="Q185" s="11" t="s">
        <v>530</v>
      </c>
      <c r="R185" s="11" t="s">
        <v>531</v>
      </c>
      <c r="S185" s="11" t="s">
        <v>803</v>
      </c>
      <c r="T185" s="11" t="s">
        <v>797</v>
      </c>
      <c r="U185" s="11" t="s">
        <v>561</v>
      </c>
      <c r="V185" s="11">
        <v>1</v>
      </c>
      <c r="W185" s="11" t="s">
        <v>20</v>
      </c>
      <c r="X185" s="11" t="s">
        <v>261</v>
      </c>
      <c r="Y185" s="11" t="s">
        <v>261</v>
      </c>
      <c r="Z185" s="11" t="s">
        <v>261</v>
      </c>
      <c r="AA185" s="11" t="s">
        <v>28</v>
      </c>
      <c r="AB185" s="11" t="s">
        <v>261</v>
      </c>
      <c r="AC185" s="11" t="s">
        <v>261</v>
      </c>
      <c r="AD185" s="11" t="s">
        <v>551</v>
      </c>
      <c r="AE185" s="12" t="s">
        <v>261</v>
      </c>
      <c r="AF185" s="11" t="s">
        <v>261</v>
      </c>
    </row>
    <row r="186" spans="1:32" ht="45" hidden="1" x14ac:dyDescent="0.25">
      <c r="A186" s="11">
        <v>1</v>
      </c>
      <c r="B186" s="11">
        <v>208290</v>
      </c>
      <c r="C186" s="11" t="s">
        <v>503</v>
      </c>
      <c r="D186" s="11" t="str">
        <f>MID(Table22[[#This Row],[تاريخ تاييد]],1,7)</f>
        <v>1403/11</v>
      </c>
      <c r="E186" s="11" t="str">
        <f>MID(Table22[[#This Row],[تاريخ تاييد]],6,2)</f>
        <v>11</v>
      </c>
      <c r="F186" s="11" t="str">
        <f>LEFT(Table22[[#This Row],[تاريخ تاييد]],4)</f>
        <v>1403</v>
      </c>
      <c r="G186" s="11" t="str">
        <f>VLOOKUP(Table22[[#This Row],[شماره فني]],Sheet7!A:C,3,0)</f>
        <v>NOD</v>
      </c>
      <c r="H186" s="11" t="str">
        <f>VLOOKUP(Table22[[#This Row],[شماره فني]],Sheet7!A:B,2,0)</f>
        <v>SBM 207</v>
      </c>
      <c r="I186" s="11" t="s">
        <v>505</v>
      </c>
      <c r="J186" s="11" t="s">
        <v>334</v>
      </c>
      <c r="K186" s="11" t="s">
        <v>261</v>
      </c>
      <c r="L186" s="11" t="s">
        <v>261</v>
      </c>
      <c r="M186" s="11" t="s">
        <v>261</v>
      </c>
      <c r="N186" s="11" t="s">
        <v>261</v>
      </c>
      <c r="O186" s="11" t="s">
        <v>261</v>
      </c>
      <c r="P186" s="11" t="s">
        <v>261</v>
      </c>
      <c r="Q186" s="11" t="s">
        <v>961</v>
      </c>
      <c r="R186" s="11" t="s">
        <v>261</v>
      </c>
      <c r="S186" s="11" t="s">
        <v>261</v>
      </c>
      <c r="T186" s="11" t="s">
        <v>552</v>
      </c>
      <c r="U186" s="11" t="s">
        <v>784</v>
      </c>
      <c r="V186" s="11">
        <v>100</v>
      </c>
      <c r="W186" s="11" t="s">
        <v>514</v>
      </c>
      <c r="X186" s="11" t="s">
        <v>261</v>
      </c>
      <c r="Y186" s="11" t="s">
        <v>261</v>
      </c>
      <c r="Z186" s="11" t="s">
        <v>261</v>
      </c>
      <c r="AA186" s="11" t="s">
        <v>583</v>
      </c>
      <c r="AB186" s="11" t="s">
        <v>261</v>
      </c>
      <c r="AC186" s="11" t="s">
        <v>261</v>
      </c>
      <c r="AD186" s="11" t="s">
        <v>551</v>
      </c>
      <c r="AE186" s="12" t="s">
        <v>261</v>
      </c>
      <c r="AF186" s="11" t="s">
        <v>261</v>
      </c>
    </row>
    <row r="187" spans="1:32" ht="30" hidden="1" x14ac:dyDescent="0.25">
      <c r="A187" s="11">
        <v>1</v>
      </c>
      <c r="B187" s="11">
        <v>208338</v>
      </c>
      <c r="C187" s="11" t="s">
        <v>503</v>
      </c>
      <c r="D187" s="11" t="str">
        <f>MID(Table22[[#This Row],[تاريخ تاييد]],1,7)</f>
        <v>1403/11</v>
      </c>
      <c r="E187" s="11" t="str">
        <f>MID(Table22[[#This Row],[تاريخ تاييد]],6,2)</f>
        <v>11</v>
      </c>
      <c r="F187" s="11" t="str">
        <f>LEFT(Table22[[#This Row],[تاريخ تاييد]],4)</f>
        <v>1403</v>
      </c>
      <c r="G187" s="11" t="str">
        <f>VLOOKUP(Table22[[#This Row],[شماره فني]],Sheet7!A:C,3,0)</f>
        <v>جلو آمپر</v>
      </c>
      <c r="H187" s="11" t="str">
        <f>VLOOKUP(Table22[[#This Row],[شماره فني]],Sheet7!A:B,2,0)</f>
        <v>جلو آمپر تارا اتوماتیک</v>
      </c>
      <c r="I187" s="11" t="s">
        <v>506</v>
      </c>
      <c r="J187" s="11" t="s">
        <v>334</v>
      </c>
      <c r="K187" s="11" t="s">
        <v>22</v>
      </c>
      <c r="L187" s="11" t="s">
        <v>529</v>
      </c>
      <c r="M187" s="11" t="s">
        <v>261</v>
      </c>
      <c r="N187" s="11" t="s">
        <v>261</v>
      </c>
      <c r="O187" s="11" t="s">
        <v>261</v>
      </c>
      <c r="P187" s="11" t="s">
        <v>261</v>
      </c>
      <c r="Q187" s="11" t="s">
        <v>581</v>
      </c>
      <c r="R187" s="11" t="s">
        <v>261</v>
      </c>
      <c r="S187" s="11" t="s">
        <v>922</v>
      </c>
      <c r="T187" s="11" t="s">
        <v>582</v>
      </c>
      <c r="U187" s="11" t="s">
        <v>583</v>
      </c>
      <c r="V187" s="11">
        <v>1</v>
      </c>
      <c r="W187" s="11" t="s">
        <v>20</v>
      </c>
      <c r="X187" s="11" t="s">
        <v>261</v>
      </c>
      <c r="Y187" s="11" t="s">
        <v>529</v>
      </c>
      <c r="Z187" s="11" t="s">
        <v>66</v>
      </c>
      <c r="AA187" s="11" t="s">
        <v>29</v>
      </c>
      <c r="AB187" s="11" t="s">
        <v>261</v>
      </c>
      <c r="AC187" s="11" t="s">
        <v>261</v>
      </c>
      <c r="AD187" s="11" t="s">
        <v>551</v>
      </c>
      <c r="AE187" s="12" t="s">
        <v>261</v>
      </c>
      <c r="AF187" s="11" t="s">
        <v>261</v>
      </c>
    </row>
    <row r="188" spans="1:32" ht="30" hidden="1" x14ac:dyDescent="0.25">
      <c r="A188" s="11">
        <v>1</v>
      </c>
      <c r="B188" s="11">
        <v>208365</v>
      </c>
      <c r="C188" s="11" t="s">
        <v>503</v>
      </c>
      <c r="D188" s="11" t="str">
        <f>MID(Table22[[#This Row],[تاريخ تاييد]],1,7)</f>
        <v>1403/11</v>
      </c>
      <c r="E188" s="11" t="str">
        <f>MID(Table22[[#This Row],[تاريخ تاييد]],6,2)</f>
        <v>11</v>
      </c>
      <c r="F188" s="11" t="str">
        <f>LEFT(Table22[[#This Row],[تاريخ تاييد]],4)</f>
        <v>1403</v>
      </c>
      <c r="G188" s="11" t="str">
        <f>VLOOKUP(Table22[[#This Row],[شماره فني]],Sheet7!A:C,3,0)</f>
        <v>جلو آمپر</v>
      </c>
      <c r="H188" s="11" t="str">
        <f>VLOOKUP(Table22[[#This Row],[شماره فني]],Sheet7!A:B,2,0)</f>
        <v>جلو آمپر دنا ST</v>
      </c>
      <c r="I188" s="11" t="s">
        <v>507</v>
      </c>
      <c r="J188" s="11" t="s">
        <v>231</v>
      </c>
      <c r="K188" s="11" t="s">
        <v>23</v>
      </c>
      <c r="L188" s="11" t="s">
        <v>529</v>
      </c>
      <c r="M188" s="11" t="s">
        <v>261</v>
      </c>
      <c r="N188" s="11" t="s">
        <v>261</v>
      </c>
      <c r="O188" s="11" t="s">
        <v>261</v>
      </c>
      <c r="P188" s="11" t="s">
        <v>261</v>
      </c>
      <c r="Q188" s="11" t="s">
        <v>261</v>
      </c>
      <c r="R188" s="11" t="s">
        <v>261</v>
      </c>
      <c r="S188" s="11" t="s">
        <v>231</v>
      </c>
      <c r="T188" s="11" t="s">
        <v>797</v>
      </c>
      <c r="U188" s="11" t="s">
        <v>561</v>
      </c>
      <c r="V188" s="11">
        <v>1</v>
      </c>
      <c r="W188" s="11" t="s">
        <v>96</v>
      </c>
      <c r="X188" s="11" t="s">
        <v>261</v>
      </c>
      <c r="Y188" s="11" t="s">
        <v>529</v>
      </c>
      <c r="Z188" s="11" t="s">
        <v>66</v>
      </c>
      <c r="AA188" s="11" t="s">
        <v>28</v>
      </c>
      <c r="AB188" s="11" t="s">
        <v>261</v>
      </c>
      <c r="AC188" s="11" t="s">
        <v>261</v>
      </c>
      <c r="AD188" s="11" t="s">
        <v>551</v>
      </c>
      <c r="AE188" s="12" t="s">
        <v>261</v>
      </c>
      <c r="AF188" s="11" t="s">
        <v>261</v>
      </c>
    </row>
    <row r="189" spans="1:32" ht="30" hidden="1" x14ac:dyDescent="0.25">
      <c r="A189" s="11">
        <v>1</v>
      </c>
      <c r="B189" s="11">
        <v>208367</v>
      </c>
      <c r="C189" s="11" t="s">
        <v>503</v>
      </c>
      <c r="D189" s="11" t="str">
        <f>MID(Table22[[#This Row],[تاريخ تاييد]],1,7)</f>
        <v>1403/11</v>
      </c>
      <c r="E189" s="11" t="str">
        <f>MID(Table22[[#This Row],[تاريخ تاييد]],6,2)</f>
        <v>11</v>
      </c>
      <c r="F189" s="11" t="str">
        <f>LEFT(Table22[[#This Row],[تاريخ تاييد]],4)</f>
        <v>1403</v>
      </c>
      <c r="G189" s="11" t="str">
        <f>VLOOKUP(Table22[[#This Row],[شماره فني]],Sheet7!A:C,3,0)</f>
        <v>NOD</v>
      </c>
      <c r="H189" s="11" t="str">
        <f>VLOOKUP(Table22[[#This Row],[شماره فني]],Sheet7!A:B,2,0)</f>
        <v>NBCM DENA</v>
      </c>
      <c r="I189" s="11" t="s">
        <v>508</v>
      </c>
      <c r="J189" s="11" t="s">
        <v>232</v>
      </c>
      <c r="K189" s="11" t="s">
        <v>261</v>
      </c>
      <c r="L189" s="11" t="s">
        <v>261</v>
      </c>
      <c r="M189" s="11" t="s">
        <v>261</v>
      </c>
      <c r="N189" s="11" t="s">
        <v>261</v>
      </c>
      <c r="O189" s="11" t="s">
        <v>261</v>
      </c>
      <c r="P189" s="11" t="s">
        <v>261</v>
      </c>
      <c r="Q189" s="11" t="s">
        <v>794</v>
      </c>
      <c r="R189" s="11" t="s">
        <v>261</v>
      </c>
      <c r="S189" s="11" t="s">
        <v>261</v>
      </c>
      <c r="T189" s="11" t="s">
        <v>552</v>
      </c>
      <c r="U189" s="11" t="s">
        <v>786</v>
      </c>
      <c r="V189" s="11">
        <v>20</v>
      </c>
      <c r="W189" s="11" t="s">
        <v>16</v>
      </c>
      <c r="X189" s="11" t="s">
        <v>261</v>
      </c>
      <c r="Y189" s="11" t="s">
        <v>529</v>
      </c>
      <c r="Z189" s="11" t="s">
        <v>66</v>
      </c>
      <c r="AA189" s="11" t="s">
        <v>583</v>
      </c>
      <c r="AB189" s="11" t="s">
        <v>261</v>
      </c>
      <c r="AC189" s="11" t="s">
        <v>261</v>
      </c>
      <c r="AD189" s="11" t="s">
        <v>551</v>
      </c>
      <c r="AE189" s="12" t="s">
        <v>261</v>
      </c>
      <c r="AF189" s="11" t="s">
        <v>261</v>
      </c>
    </row>
    <row r="190" spans="1:32" ht="60" hidden="1" x14ac:dyDescent="0.25">
      <c r="A190" s="11">
        <v>1</v>
      </c>
      <c r="B190" s="11">
        <v>208368</v>
      </c>
      <c r="C190" s="11" t="s">
        <v>503</v>
      </c>
      <c r="D190" s="11" t="str">
        <f>MID(Table22[[#This Row],[تاريخ تاييد]],1,7)</f>
        <v>1403/11</v>
      </c>
      <c r="E190" s="11" t="str">
        <f>MID(Table22[[#This Row],[تاريخ تاييد]],6,2)</f>
        <v>11</v>
      </c>
      <c r="F190" s="11" t="str">
        <f>LEFT(Table22[[#This Row],[تاريخ تاييد]],4)</f>
        <v>1403</v>
      </c>
      <c r="G190" s="11" t="str">
        <f>VLOOKUP(Table22[[#This Row],[شماره فني]],Sheet7!A:C,3,0)</f>
        <v>MFD</v>
      </c>
      <c r="H190" s="11" t="str">
        <f>VLOOKUP(Table22[[#This Row],[شماره فني]],Sheet7!A:B,2,0)</f>
        <v>MFD RUNNA</v>
      </c>
      <c r="I190" s="11" t="s">
        <v>509</v>
      </c>
      <c r="J190" s="11" t="s">
        <v>588</v>
      </c>
      <c r="K190" s="11" t="s">
        <v>261</v>
      </c>
      <c r="L190" s="11" t="s">
        <v>261</v>
      </c>
      <c r="M190" s="11" t="s">
        <v>261</v>
      </c>
      <c r="N190" s="11" t="s">
        <v>261</v>
      </c>
      <c r="O190" s="11" t="s">
        <v>261</v>
      </c>
      <c r="P190" s="11" t="s">
        <v>261</v>
      </c>
      <c r="Q190" s="11" t="s">
        <v>261</v>
      </c>
      <c r="R190" s="11" t="s">
        <v>732</v>
      </c>
      <c r="S190" s="11" t="s">
        <v>817</v>
      </c>
      <c r="T190" s="11" t="s">
        <v>809</v>
      </c>
      <c r="U190" s="11" t="s">
        <v>589</v>
      </c>
      <c r="V190" s="11">
        <v>1</v>
      </c>
      <c r="W190" s="11" t="s">
        <v>121</v>
      </c>
      <c r="X190" s="11" t="s">
        <v>261</v>
      </c>
      <c r="Y190" s="11" t="s">
        <v>261</v>
      </c>
      <c r="Z190" s="11" t="s">
        <v>261</v>
      </c>
      <c r="AA190" s="11" t="s">
        <v>29</v>
      </c>
      <c r="AB190" s="11" t="s">
        <v>261</v>
      </c>
      <c r="AC190" s="11" t="s">
        <v>261</v>
      </c>
      <c r="AD190" s="11" t="s">
        <v>551</v>
      </c>
      <c r="AE190" s="12" t="s">
        <v>261</v>
      </c>
      <c r="AF190" s="11" t="s">
        <v>261</v>
      </c>
    </row>
    <row r="191" spans="1:32" ht="45" hidden="1" x14ac:dyDescent="0.25">
      <c r="A191" s="11">
        <v>1</v>
      </c>
      <c r="B191" s="11">
        <v>208576</v>
      </c>
      <c r="C191" s="11" t="s">
        <v>510</v>
      </c>
      <c r="D191" s="11" t="str">
        <f>MID(Table22[[#This Row],[تاريخ تاييد]],1,7)</f>
        <v>1403/11</v>
      </c>
      <c r="E191" s="11" t="str">
        <f>MID(Table22[[#This Row],[تاريخ تاييد]],6,2)</f>
        <v>11</v>
      </c>
      <c r="F191" s="11" t="str">
        <f>LEFT(Table22[[#This Row],[تاريخ تاييد]],4)</f>
        <v>1403</v>
      </c>
      <c r="G191" s="11" t="str">
        <f>VLOOKUP(Table22[[#This Row],[شماره فني]],Sheet7!A:C,3,0)</f>
        <v>NOD</v>
      </c>
      <c r="H191" s="11" t="str">
        <f>VLOOKUP(Table22[[#This Row],[شماره فني]],Sheet7!A:B,2,0)</f>
        <v>NBCM TARA SAL</v>
      </c>
      <c r="I191" s="11" t="s">
        <v>511</v>
      </c>
      <c r="J191" s="11" t="s">
        <v>334</v>
      </c>
      <c r="K191" s="11" t="s">
        <v>22</v>
      </c>
      <c r="L191" s="11" t="s">
        <v>523</v>
      </c>
      <c r="M191" s="11" t="s">
        <v>261</v>
      </c>
      <c r="N191" s="11" t="s">
        <v>261</v>
      </c>
      <c r="O191" s="11" t="s">
        <v>261</v>
      </c>
      <c r="P191" s="11" t="s">
        <v>261</v>
      </c>
      <c r="Q191" s="11" t="s">
        <v>524</v>
      </c>
      <c r="R191" s="11" t="s">
        <v>525</v>
      </c>
      <c r="S191" s="11" t="s">
        <v>527</v>
      </c>
      <c r="T191" s="11" t="s">
        <v>230</v>
      </c>
      <c r="U191" s="11" t="s">
        <v>561</v>
      </c>
      <c r="V191" s="11">
        <v>1</v>
      </c>
      <c r="W191" s="11" t="s">
        <v>95</v>
      </c>
      <c r="X191" s="11" t="s">
        <v>526</v>
      </c>
      <c r="Y191" s="11" t="s">
        <v>523</v>
      </c>
      <c r="Z191" s="11" t="s">
        <v>66</v>
      </c>
      <c r="AA191" s="11" t="s">
        <v>28</v>
      </c>
      <c r="AB191" s="11" t="s">
        <v>261</v>
      </c>
      <c r="AC191" s="11" t="s">
        <v>261</v>
      </c>
      <c r="AD191" s="11" t="s">
        <v>551</v>
      </c>
      <c r="AE191" s="12" t="s">
        <v>261</v>
      </c>
      <c r="AF191" s="11" t="s">
        <v>261</v>
      </c>
    </row>
    <row r="192" spans="1:32" ht="45" hidden="1" x14ac:dyDescent="0.25">
      <c r="A192" s="11">
        <v>1</v>
      </c>
      <c r="B192" s="11">
        <v>208768</v>
      </c>
      <c r="C192" s="11" t="s">
        <v>512</v>
      </c>
      <c r="D192" s="11" t="str">
        <f>MID(Table22[[#This Row],[تاريخ تاييد]],1,7)</f>
        <v>1403/11</v>
      </c>
      <c r="E192" s="11" t="str">
        <f>MID(Table22[[#This Row],[تاريخ تاييد]],6,2)</f>
        <v>11</v>
      </c>
      <c r="F192" s="11" t="str">
        <f>LEFT(Table22[[#This Row],[تاريخ تاييد]],4)</f>
        <v>1403</v>
      </c>
      <c r="G192" s="11" t="str">
        <f>VLOOKUP(Table22[[#This Row],[شماره فني]],Sheet7!A:C,3,0)</f>
        <v>جلو آمپر</v>
      </c>
      <c r="H192" s="11" t="str">
        <f>VLOOKUP(Table22[[#This Row],[شماره فني]],Sheet7!A:B,2,0)</f>
        <v>جلو آمپرSOREN TC 85 گانه</v>
      </c>
      <c r="I192" s="11" t="s">
        <v>513</v>
      </c>
      <c r="J192" s="11" t="s">
        <v>723</v>
      </c>
      <c r="K192" s="11" t="s">
        <v>261</v>
      </c>
      <c r="L192" s="11" t="s">
        <v>261</v>
      </c>
      <c r="M192" s="11" t="s">
        <v>261</v>
      </c>
      <c r="N192" s="11" t="s">
        <v>261</v>
      </c>
      <c r="O192" s="11" t="s">
        <v>261</v>
      </c>
      <c r="P192" s="11" t="s">
        <v>261</v>
      </c>
      <c r="Q192" s="11" t="s">
        <v>961</v>
      </c>
      <c r="R192" s="11" t="s">
        <v>261</v>
      </c>
      <c r="S192" s="11" t="s">
        <v>261</v>
      </c>
      <c r="T192" s="11" t="s">
        <v>552</v>
      </c>
      <c r="U192" s="11" t="s">
        <v>784</v>
      </c>
      <c r="V192" s="11">
        <v>10</v>
      </c>
      <c r="W192" s="11" t="s">
        <v>32</v>
      </c>
      <c r="X192" s="11" t="s">
        <v>261</v>
      </c>
      <c r="Y192" s="11" t="s">
        <v>261</v>
      </c>
      <c r="Z192" s="11" t="s">
        <v>261</v>
      </c>
      <c r="AA192" s="11" t="s">
        <v>583</v>
      </c>
      <c r="AB192" s="11" t="s">
        <v>261</v>
      </c>
      <c r="AC192" s="11" t="s">
        <v>261</v>
      </c>
      <c r="AD192" s="11" t="s">
        <v>551</v>
      </c>
      <c r="AE192" s="12" t="s">
        <v>261</v>
      </c>
      <c r="AF192" s="11" t="s">
        <v>261</v>
      </c>
    </row>
    <row r="193" spans="1:32" ht="60" hidden="1" x14ac:dyDescent="0.25">
      <c r="A193" s="11">
        <v>1</v>
      </c>
      <c r="B193" s="11">
        <v>209135</v>
      </c>
      <c r="C193" s="11" t="s">
        <v>518</v>
      </c>
      <c r="D193" s="11" t="str">
        <f>MID(Table22[[#This Row],[تاريخ تاييد]],1,7)</f>
        <v>1403/11</v>
      </c>
      <c r="E193" s="11" t="str">
        <f>MID(Table22[[#This Row],[تاريخ تاييد]],6,2)</f>
        <v>11</v>
      </c>
      <c r="F193" s="11" t="str">
        <f>LEFT(Table22[[#This Row],[تاريخ تاييد]],4)</f>
        <v>1403</v>
      </c>
      <c r="G193" s="11" t="str">
        <f>VLOOKUP(Table22[[#This Row],[شماره فني]],Sheet7!A:C,3,0)</f>
        <v>جلو آمپر</v>
      </c>
      <c r="H193" s="11" t="str">
        <f>VLOOKUP(Table22[[#This Row],[شماره فني]],Sheet7!A:B,2,0)</f>
        <v>جلو آمپر تارا اتوماتیک</v>
      </c>
      <c r="I193" s="11" t="s">
        <v>519</v>
      </c>
      <c r="J193" s="11" t="s">
        <v>729</v>
      </c>
      <c r="K193" s="11" t="s">
        <v>23</v>
      </c>
      <c r="L193" s="11" t="s">
        <v>543</v>
      </c>
      <c r="M193" s="11" t="s">
        <v>261</v>
      </c>
      <c r="N193" s="11" t="s">
        <v>261</v>
      </c>
      <c r="O193" s="11" t="s">
        <v>261</v>
      </c>
      <c r="P193" s="11" t="s">
        <v>261</v>
      </c>
      <c r="Q193" s="11" t="s">
        <v>795</v>
      </c>
      <c r="R193" s="11" t="s">
        <v>796</v>
      </c>
      <c r="S193" s="11" t="s">
        <v>803</v>
      </c>
      <c r="T193" s="11" t="s">
        <v>797</v>
      </c>
      <c r="U193" s="11" t="s">
        <v>561</v>
      </c>
      <c r="V193" s="11">
        <v>1</v>
      </c>
      <c r="W193" s="11" t="s">
        <v>20</v>
      </c>
      <c r="X193" s="11" t="s">
        <v>261</v>
      </c>
      <c r="Y193" s="11" t="s">
        <v>543</v>
      </c>
      <c r="Z193" s="11" t="s">
        <v>66</v>
      </c>
      <c r="AA193" s="11" t="s">
        <v>28</v>
      </c>
      <c r="AB193" s="11" t="s">
        <v>261</v>
      </c>
      <c r="AC193" s="11" t="s">
        <v>261</v>
      </c>
      <c r="AD193" s="11" t="s">
        <v>551</v>
      </c>
      <c r="AE193" s="12" t="s">
        <v>261</v>
      </c>
      <c r="AF193" s="11" t="s">
        <v>261</v>
      </c>
    </row>
    <row r="194" spans="1:32" ht="45" hidden="1" x14ac:dyDescent="0.25">
      <c r="A194" s="11">
        <v>1</v>
      </c>
      <c r="B194" s="11">
        <v>209201</v>
      </c>
      <c r="C194" s="11" t="s">
        <v>521</v>
      </c>
      <c r="D194" s="11" t="str">
        <f>MID(Table22[[#This Row],[تاريخ تاييد]],1,7)</f>
        <v>1403/11</v>
      </c>
      <c r="E194" s="11" t="str">
        <f>MID(Table22[[#This Row],[تاريخ تاييد]],6,2)</f>
        <v>11</v>
      </c>
      <c r="F194" s="11" t="str">
        <f>LEFT(Table22[[#This Row],[تاريخ تاييد]],4)</f>
        <v>1403</v>
      </c>
      <c r="G194" s="11" t="str">
        <f>VLOOKUP(Table22[[#This Row],[شماره فني]],Sheet7!A:C,3,0)</f>
        <v>NOD</v>
      </c>
      <c r="H194" s="11" t="str">
        <f>VLOOKUP(Table22[[#This Row],[شماره فني]],Sheet7!A:B,2,0)</f>
        <v>NBCM TARA SAL</v>
      </c>
      <c r="I194" s="11" t="s">
        <v>522</v>
      </c>
      <c r="J194" s="11" t="s">
        <v>726</v>
      </c>
      <c r="K194" s="11" t="s">
        <v>261</v>
      </c>
      <c r="L194" s="11" t="s">
        <v>261</v>
      </c>
      <c r="M194" s="11" t="s">
        <v>261</v>
      </c>
      <c r="N194" s="11" t="s">
        <v>261</v>
      </c>
      <c r="O194" s="11" t="s">
        <v>261</v>
      </c>
      <c r="P194" s="11" t="s">
        <v>261</v>
      </c>
      <c r="Q194" s="11" t="s">
        <v>961</v>
      </c>
      <c r="R194" s="11" t="s">
        <v>261</v>
      </c>
      <c r="S194" s="11" t="s">
        <v>261</v>
      </c>
      <c r="T194" s="11" t="s">
        <v>552</v>
      </c>
      <c r="U194" s="11" t="s">
        <v>784</v>
      </c>
      <c r="V194" s="11">
        <v>1</v>
      </c>
      <c r="W194" s="11" t="s">
        <v>95</v>
      </c>
      <c r="X194" s="11" t="s">
        <v>261</v>
      </c>
      <c r="Y194" s="11" t="s">
        <v>261</v>
      </c>
      <c r="Z194" s="11" t="s">
        <v>261</v>
      </c>
      <c r="AA194" s="11" t="s">
        <v>583</v>
      </c>
      <c r="AB194" s="11" t="s">
        <v>261</v>
      </c>
      <c r="AC194" s="11" t="s">
        <v>261</v>
      </c>
      <c r="AD194" s="11" t="s">
        <v>551</v>
      </c>
      <c r="AE194" s="12" t="s">
        <v>261</v>
      </c>
      <c r="AF194" s="11" t="s">
        <v>261</v>
      </c>
    </row>
    <row r="195" spans="1:32" ht="30" hidden="1" x14ac:dyDescent="0.25">
      <c r="A195" s="11">
        <v>1</v>
      </c>
      <c r="B195" s="11">
        <v>209500</v>
      </c>
      <c r="C195" s="11" t="s">
        <v>534</v>
      </c>
      <c r="D195" s="11" t="str">
        <f>MID(Table22[[#This Row],[تاريخ تاييد]],1,7)</f>
        <v>1403/11</v>
      </c>
      <c r="E195" s="11" t="str">
        <f>MID(Table22[[#This Row],[تاريخ تاييد]],6,2)</f>
        <v>11</v>
      </c>
      <c r="F195" s="11" t="str">
        <f>LEFT(Table22[[#This Row],[تاريخ تاييد]],4)</f>
        <v>1403</v>
      </c>
      <c r="G195" s="11" t="str">
        <f>VLOOKUP(Table22[[#This Row],[شماره فني]],Sheet7!A:C,3,0)</f>
        <v>جلو آمپر</v>
      </c>
      <c r="H195" s="11" t="str">
        <f>VLOOKUP(Table22[[#This Row],[شماره فني]],Sheet7!A:B,2,0)</f>
        <v>جلو آمپر207  معمولی85 گانه</v>
      </c>
      <c r="I195" s="11" t="s">
        <v>535</v>
      </c>
      <c r="J195" s="11" t="s">
        <v>729</v>
      </c>
      <c r="K195" s="11" t="s">
        <v>23</v>
      </c>
      <c r="L195" s="11" t="s">
        <v>543</v>
      </c>
      <c r="M195" s="11" t="s">
        <v>261</v>
      </c>
      <c r="N195" s="11" t="s">
        <v>261</v>
      </c>
      <c r="O195" s="11" t="s">
        <v>261</v>
      </c>
      <c r="P195" s="11" t="s">
        <v>261</v>
      </c>
      <c r="Q195" s="11" t="s">
        <v>261</v>
      </c>
      <c r="R195" s="11" t="s">
        <v>578</v>
      </c>
      <c r="S195" s="11" t="s">
        <v>801</v>
      </c>
      <c r="T195" s="11" t="s">
        <v>813</v>
      </c>
      <c r="U195" s="11" t="s">
        <v>563</v>
      </c>
      <c r="V195" s="11">
        <v>1</v>
      </c>
      <c r="W195" s="11" t="s">
        <v>30</v>
      </c>
      <c r="X195" s="11" t="s">
        <v>478</v>
      </c>
      <c r="Y195" s="11" t="s">
        <v>449</v>
      </c>
      <c r="Z195" s="11" t="s">
        <v>66</v>
      </c>
      <c r="AA195" s="11" t="s">
        <v>27</v>
      </c>
      <c r="AB195" s="11" t="s">
        <v>987</v>
      </c>
      <c r="AC195" s="11" t="s">
        <v>261</v>
      </c>
      <c r="AD195" s="11" t="s">
        <v>551</v>
      </c>
      <c r="AE195" s="12" t="s">
        <v>261</v>
      </c>
      <c r="AF195" s="11" t="s">
        <v>261</v>
      </c>
    </row>
    <row r="196" spans="1:32" ht="45" hidden="1" x14ac:dyDescent="0.25">
      <c r="A196" s="11">
        <v>1</v>
      </c>
      <c r="B196" s="11">
        <v>209603</v>
      </c>
      <c r="C196" s="11" t="s">
        <v>536</v>
      </c>
      <c r="D196" s="11" t="str">
        <f>MID(Table22[[#This Row],[تاريخ تاييد]],1,7)</f>
        <v>1403/11</v>
      </c>
      <c r="E196" s="11" t="str">
        <f>MID(Table22[[#This Row],[تاريخ تاييد]],6,2)</f>
        <v>11</v>
      </c>
      <c r="F196" s="11" t="str">
        <f>LEFT(Table22[[#This Row],[تاريخ تاييد]],4)</f>
        <v>1403</v>
      </c>
      <c r="G196" s="11" t="str">
        <f>VLOOKUP(Table22[[#This Row],[شماره فني]],Sheet7!A:C,3,0)</f>
        <v>جلو آمپر</v>
      </c>
      <c r="H196" s="11" t="str">
        <f>VLOOKUP(Table22[[#This Row],[شماره فني]],Sheet7!A:B,2,0)</f>
        <v>جلو آمپر دنا اتوماتیک</v>
      </c>
      <c r="I196" s="11" t="s">
        <v>537</v>
      </c>
      <c r="J196" s="11" t="s">
        <v>231</v>
      </c>
      <c r="K196" s="11" t="s">
        <v>261</v>
      </c>
      <c r="L196" s="11" t="s">
        <v>261</v>
      </c>
      <c r="M196" s="11" t="s">
        <v>261</v>
      </c>
      <c r="N196" s="11" t="s">
        <v>261</v>
      </c>
      <c r="O196" s="11" t="s">
        <v>261</v>
      </c>
      <c r="P196" s="11" t="s">
        <v>261</v>
      </c>
      <c r="Q196" s="11" t="s">
        <v>961</v>
      </c>
      <c r="R196" s="11" t="s">
        <v>261</v>
      </c>
      <c r="S196" s="11" t="s">
        <v>261</v>
      </c>
      <c r="T196" s="11" t="s">
        <v>552</v>
      </c>
      <c r="U196" s="11" t="s">
        <v>784</v>
      </c>
      <c r="V196" s="11">
        <v>1</v>
      </c>
      <c r="W196" s="11" t="s">
        <v>21</v>
      </c>
      <c r="X196" s="11" t="s">
        <v>261</v>
      </c>
      <c r="Y196" s="11" t="s">
        <v>261</v>
      </c>
      <c r="Z196" s="11" t="s">
        <v>261</v>
      </c>
      <c r="AA196" s="11" t="s">
        <v>583</v>
      </c>
      <c r="AB196" s="11" t="s">
        <v>261</v>
      </c>
      <c r="AC196" s="11" t="s">
        <v>261</v>
      </c>
      <c r="AD196" s="11" t="s">
        <v>551</v>
      </c>
      <c r="AE196" s="12" t="s">
        <v>261</v>
      </c>
      <c r="AF196" s="11" t="s">
        <v>261</v>
      </c>
    </row>
    <row r="197" spans="1:32" ht="45" hidden="1" x14ac:dyDescent="0.25">
      <c r="A197" s="11">
        <v>1</v>
      </c>
      <c r="B197" s="11">
        <v>209659</v>
      </c>
      <c r="C197" s="11" t="s">
        <v>536</v>
      </c>
      <c r="D197" s="11" t="str">
        <f>MID(Table22[[#This Row],[تاريخ تاييد]],1,7)</f>
        <v>1403/11</v>
      </c>
      <c r="E197" s="11" t="str">
        <f>MID(Table22[[#This Row],[تاريخ تاييد]],6,2)</f>
        <v>11</v>
      </c>
      <c r="F197" s="11" t="str">
        <f>LEFT(Table22[[#This Row],[تاريخ تاييد]],4)</f>
        <v>1403</v>
      </c>
      <c r="G197" s="11" t="str">
        <f>VLOOKUP(Table22[[#This Row],[شماره فني]],Sheet7!A:C,3,0)</f>
        <v>جلو آمپر</v>
      </c>
      <c r="H197" s="11" t="str">
        <f>VLOOKUP(Table22[[#This Row],[شماره فني]],Sheet7!A:B,2,0)</f>
        <v>جلو آمپر تارا اتوماتیک</v>
      </c>
      <c r="I197" s="11" t="s">
        <v>538</v>
      </c>
      <c r="J197" s="11" t="s">
        <v>729</v>
      </c>
      <c r="K197" s="11" t="s">
        <v>261</v>
      </c>
      <c r="L197" s="11" t="s">
        <v>261</v>
      </c>
      <c r="M197" s="11" t="s">
        <v>261</v>
      </c>
      <c r="N197" s="11" t="s">
        <v>261</v>
      </c>
      <c r="O197" s="11" t="s">
        <v>261</v>
      </c>
      <c r="P197" s="11" t="s">
        <v>261</v>
      </c>
      <c r="Q197" s="11" t="s">
        <v>961</v>
      </c>
      <c r="R197" s="11" t="s">
        <v>261</v>
      </c>
      <c r="S197" s="11" t="s">
        <v>261</v>
      </c>
      <c r="T197" s="11" t="s">
        <v>552</v>
      </c>
      <c r="U197" s="11" t="s">
        <v>784</v>
      </c>
      <c r="V197" s="11">
        <v>1</v>
      </c>
      <c r="W197" s="11" t="s">
        <v>20</v>
      </c>
      <c r="X197" s="11" t="s">
        <v>261</v>
      </c>
      <c r="Y197" s="11" t="s">
        <v>261</v>
      </c>
      <c r="Z197" s="11" t="s">
        <v>261</v>
      </c>
      <c r="AA197" s="11" t="s">
        <v>583</v>
      </c>
      <c r="AB197" s="11" t="s">
        <v>261</v>
      </c>
      <c r="AC197" s="11" t="s">
        <v>261</v>
      </c>
      <c r="AD197" s="11" t="s">
        <v>551</v>
      </c>
      <c r="AE197" s="12" t="s">
        <v>261</v>
      </c>
      <c r="AF197" s="11" t="s">
        <v>261</v>
      </c>
    </row>
    <row r="198" spans="1:32" ht="45" hidden="1" x14ac:dyDescent="0.25">
      <c r="A198" s="11">
        <v>1</v>
      </c>
      <c r="B198" s="11">
        <v>209660</v>
      </c>
      <c r="C198" s="11" t="s">
        <v>536</v>
      </c>
      <c r="D198" s="11" t="str">
        <f>MID(Table22[[#This Row],[تاريخ تاييد]],1,7)</f>
        <v>1403/11</v>
      </c>
      <c r="E198" s="11" t="str">
        <f>MID(Table22[[#This Row],[تاريخ تاييد]],6,2)</f>
        <v>11</v>
      </c>
      <c r="F198" s="11" t="str">
        <f>LEFT(Table22[[#This Row],[تاريخ تاييد]],4)</f>
        <v>1403</v>
      </c>
      <c r="G198" s="11" t="str">
        <f>VLOOKUP(Table22[[#This Row],[شماره فني]],Sheet7!A:C,3,0)</f>
        <v>جلو آمپر</v>
      </c>
      <c r="H198" s="11" t="str">
        <f>VLOOKUP(Table22[[#This Row],[شماره فني]],Sheet7!A:B,2,0)</f>
        <v>جلو آمپر تارا اتوماتیک</v>
      </c>
      <c r="I198" s="11" t="s">
        <v>539</v>
      </c>
      <c r="J198" s="11" t="s">
        <v>729</v>
      </c>
      <c r="K198" s="11" t="s">
        <v>261</v>
      </c>
      <c r="L198" s="11" t="s">
        <v>261</v>
      </c>
      <c r="M198" s="11" t="s">
        <v>261</v>
      </c>
      <c r="N198" s="11" t="s">
        <v>261</v>
      </c>
      <c r="O198" s="11" t="s">
        <v>261</v>
      </c>
      <c r="P198" s="11" t="s">
        <v>261</v>
      </c>
      <c r="Q198" s="11" t="s">
        <v>961</v>
      </c>
      <c r="R198" s="11" t="s">
        <v>261</v>
      </c>
      <c r="S198" s="11" t="s">
        <v>261</v>
      </c>
      <c r="T198" s="11" t="s">
        <v>552</v>
      </c>
      <c r="U198" s="11" t="s">
        <v>784</v>
      </c>
      <c r="V198" s="11">
        <v>1</v>
      </c>
      <c r="W198" s="11" t="s">
        <v>20</v>
      </c>
      <c r="X198" s="11" t="s">
        <v>261</v>
      </c>
      <c r="Y198" s="11" t="s">
        <v>261</v>
      </c>
      <c r="Z198" s="11" t="s">
        <v>261</v>
      </c>
      <c r="AA198" s="11" t="s">
        <v>583</v>
      </c>
      <c r="AB198" s="11" t="s">
        <v>261</v>
      </c>
      <c r="AC198" s="11" t="s">
        <v>261</v>
      </c>
      <c r="AD198" s="11" t="s">
        <v>551</v>
      </c>
      <c r="AE198" s="12" t="s">
        <v>261</v>
      </c>
      <c r="AF198" s="11" t="s">
        <v>261</v>
      </c>
    </row>
    <row r="199" spans="1:32" ht="45" hidden="1" x14ac:dyDescent="0.25">
      <c r="A199" s="11">
        <v>1</v>
      </c>
      <c r="B199" s="11">
        <v>209749</v>
      </c>
      <c r="C199" s="11" t="s">
        <v>536</v>
      </c>
      <c r="D199" s="11" t="str">
        <f>MID(Table22[[#This Row],[تاريخ تاييد]],1,7)</f>
        <v>1403/11</v>
      </c>
      <c r="E199" s="11" t="str">
        <f>MID(Table22[[#This Row],[تاريخ تاييد]],6,2)</f>
        <v>11</v>
      </c>
      <c r="F199" s="11" t="str">
        <f>LEFT(Table22[[#This Row],[تاريخ تاييد]],4)</f>
        <v>1403</v>
      </c>
      <c r="G199" s="11" t="str">
        <f>VLOOKUP(Table22[[#This Row],[شماره فني]],Sheet7!A:C,3,0)</f>
        <v>جلو آمپر</v>
      </c>
      <c r="H199" s="11" t="str">
        <f>VLOOKUP(Table22[[#This Row],[شماره فني]],Sheet7!A:B,2,0)</f>
        <v>جلو آمپر207  معمولی85 گانه</v>
      </c>
      <c r="I199" s="11" t="s">
        <v>540</v>
      </c>
      <c r="J199" s="11" t="s">
        <v>334</v>
      </c>
      <c r="K199" s="11" t="s">
        <v>261</v>
      </c>
      <c r="L199" s="11" t="s">
        <v>261</v>
      </c>
      <c r="M199" s="11" t="s">
        <v>261</v>
      </c>
      <c r="N199" s="11" t="s">
        <v>261</v>
      </c>
      <c r="O199" s="11" t="s">
        <v>261</v>
      </c>
      <c r="P199" s="11" t="s">
        <v>261</v>
      </c>
      <c r="Q199" s="11" t="s">
        <v>961</v>
      </c>
      <c r="R199" s="11" t="s">
        <v>261</v>
      </c>
      <c r="S199" s="11" t="s">
        <v>261</v>
      </c>
      <c r="T199" s="11" t="s">
        <v>552</v>
      </c>
      <c r="U199" s="11" t="s">
        <v>784</v>
      </c>
      <c r="V199" s="11">
        <v>1</v>
      </c>
      <c r="W199" s="11" t="s">
        <v>30</v>
      </c>
      <c r="X199" s="11" t="s">
        <v>261</v>
      </c>
      <c r="Y199" s="11" t="s">
        <v>261</v>
      </c>
      <c r="Z199" s="11" t="s">
        <v>261</v>
      </c>
      <c r="AA199" s="11" t="s">
        <v>583</v>
      </c>
      <c r="AB199" s="11" t="s">
        <v>261</v>
      </c>
      <c r="AC199" s="11" t="s">
        <v>261</v>
      </c>
      <c r="AD199" s="11" t="s">
        <v>551</v>
      </c>
      <c r="AE199" s="12" t="s">
        <v>261</v>
      </c>
      <c r="AF199" s="11" t="s">
        <v>261</v>
      </c>
    </row>
    <row r="200" spans="1:32" ht="45" hidden="1" x14ac:dyDescent="0.25">
      <c r="A200" s="11">
        <v>1</v>
      </c>
      <c r="B200" s="11">
        <v>209802</v>
      </c>
      <c r="C200" s="11" t="s">
        <v>541</v>
      </c>
      <c r="D200" s="11" t="str">
        <f>MID(Table22[[#This Row],[تاريخ تاييد]],1,7)</f>
        <v>1403/11</v>
      </c>
      <c r="E200" s="11" t="str">
        <f>MID(Table22[[#This Row],[تاريخ تاييد]],6,2)</f>
        <v>11</v>
      </c>
      <c r="F200" s="11" t="str">
        <f>LEFT(Table22[[#This Row],[تاريخ تاييد]],4)</f>
        <v>1403</v>
      </c>
      <c r="G200" s="11" t="str">
        <f>VLOOKUP(Table22[[#This Row],[شماره فني]],Sheet7!A:C,3,0)</f>
        <v>کلید شیشه بالابر</v>
      </c>
      <c r="H200" s="11" t="str">
        <f>VLOOKUP(Table22[[#This Row],[شماره فني]],Sheet7!A:B,2,0)</f>
        <v>کلید شیشه بالابر عقب چپ سورن</v>
      </c>
      <c r="I200" s="11" t="s">
        <v>542</v>
      </c>
      <c r="J200" s="11" t="s">
        <v>723</v>
      </c>
      <c r="K200" s="11" t="s">
        <v>261</v>
      </c>
      <c r="L200" s="11" t="s">
        <v>261</v>
      </c>
      <c r="M200" s="11" t="s">
        <v>261</v>
      </c>
      <c r="N200" s="11" t="s">
        <v>261</v>
      </c>
      <c r="O200" s="11" t="s">
        <v>261</v>
      </c>
      <c r="P200" s="11" t="s">
        <v>261</v>
      </c>
      <c r="Q200" s="11" t="s">
        <v>961</v>
      </c>
      <c r="R200" s="11" t="s">
        <v>261</v>
      </c>
      <c r="S200" s="11" t="s">
        <v>261</v>
      </c>
      <c r="T200" s="11" t="s">
        <v>552</v>
      </c>
      <c r="U200" s="11" t="s">
        <v>784</v>
      </c>
      <c r="V200" s="11">
        <v>3</v>
      </c>
      <c r="W200" s="11" t="s">
        <v>287</v>
      </c>
      <c r="X200" s="11" t="s">
        <v>261</v>
      </c>
      <c r="Y200" s="11" t="s">
        <v>261</v>
      </c>
      <c r="Z200" s="11" t="s">
        <v>261</v>
      </c>
      <c r="AA200" s="11" t="s">
        <v>583</v>
      </c>
      <c r="AB200" s="11" t="s">
        <v>261</v>
      </c>
      <c r="AC200" s="11" t="s">
        <v>261</v>
      </c>
      <c r="AD200" s="11" t="s">
        <v>551</v>
      </c>
      <c r="AE200" s="12" t="s">
        <v>261</v>
      </c>
      <c r="AF200" s="11" t="s">
        <v>261</v>
      </c>
    </row>
    <row r="201" spans="1:32" ht="45" hidden="1" x14ac:dyDescent="0.25">
      <c r="A201" s="11">
        <v>1</v>
      </c>
      <c r="B201" s="11">
        <v>209936</v>
      </c>
      <c r="C201" s="11" t="s">
        <v>544</v>
      </c>
      <c r="D201" s="11" t="str">
        <f>MID(Table22[[#This Row],[تاريخ تاييد]],1,7)</f>
        <v>1403/12</v>
      </c>
      <c r="E201" s="11" t="str">
        <f>MID(Table22[[#This Row],[تاريخ تاييد]],6,2)</f>
        <v>12</v>
      </c>
      <c r="F201" s="11" t="str">
        <f>LEFT(Table22[[#This Row],[تاريخ تاييد]],4)</f>
        <v>1403</v>
      </c>
      <c r="G201" s="11" t="str">
        <f>VLOOKUP(Table22[[#This Row],[شماره فني]],Sheet7!A:C,3,0)</f>
        <v>جلو آمپر</v>
      </c>
      <c r="H201" s="11" t="str">
        <f>VLOOKUP(Table22[[#This Row],[شماره فني]],Sheet7!A:B,2,0)</f>
        <v>جلو آمپرSOREN TC 85 گانه</v>
      </c>
      <c r="I201" s="11" t="s">
        <v>545</v>
      </c>
      <c r="J201" s="11" t="s">
        <v>231</v>
      </c>
      <c r="K201" s="11" t="s">
        <v>261</v>
      </c>
      <c r="L201" s="11" t="s">
        <v>261</v>
      </c>
      <c r="M201" s="11" t="s">
        <v>261</v>
      </c>
      <c r="N201" s="11" t="s">
        <v>261</v>
      </c>
      <c r="O201" s="11" t="s">
        <v>261</v>
      </c>
      <c r="P201" s="11" t="s">
        <v>261</v>
      </c>
      <c r="Q201" s="11" t="s">
        <v>961</v>
      </c>
      <c r="R201" s="11" t="s">
        <v>261</v>
      </c>
      <c r="S201" s="11" t="s">
        <v>261</v>
      </c>
      <c r="T201" s="11" t="s">
        <v>552</v>
      </c>
      <c r="U201" s="11" t="s">
        <v>784</v>
      </c>
      <c r="V201" s="11">
        <v>1</v>
      </c>
      <c r="W201" s="11" t="s">
        <v>32</v>
      </c>
      <c r="X201" s="11" t="s">
        <v>261</v>
      </c>
      <c r="Y201" s="11" t="s">
        <v>261</v>
      </c>
      <c r="Z201" s="11" t="s">
        <v>261</v>
      </c>
      <c r="AA201" s="11" t="s">
        <v>583</v>
      </c>
      <c r="AB201" s="11" t="s">
        <v>261</v>
      </c>
      <c r="AC201" s="11" t="s">
        <v>261</v>
      </c>
      <c r="AD201" s="11" t="s">
        <v>551</v>
      </c>
      <c r="AE201" s="12" t="s">
        <v>261</v>
      </c>
      <c r="AF201" s="11" t="s">
        <v>261</v>
      </c>
    </row>
    <row r="202" spans="1:32" ht="45" hidden="1" x14ac:dyDescent="0.25">
      <c r="A202" s="11">
        <v>1</v>
      </c>
      <c r="B202" s="11">
        <v>209988</v>
      </c>
      <c r="C202" s="11" t="s">
        <v>546</v>
      </c>
      <c r="D202" s="11" t="str">
        <f>MID(Table22[[#This Row],[تاريخ تاييد]],1,7)</f>
        <v>1403/12</v>
      </c>
      <c r="E202" s="11" t="str">
        <f>MID(Table22[[#This Row],[تاريخ تاييد]],6,2)</f>
        <v>12</v>
      </c>
      <c r="F202" s="11" t="str">
        <f>LEFT(Table22[[#This Row],[تاريخ تاييد]],4)</f>
        <v>1403</v>
      </c>
      <c r="G202" s="11" t="str">
        <f>VLOOKUP(Table22[[#This Row],[شماره فني]],Sheet7!A:C,3,0)</f>
        <v>جلو آمپر</v>
      </c>
      <c r="H202" s="11" t="str">
        <f>VLOOKUP(Table22[[#This Row],[شماره فني]],Sheet7!A:B,2,0)</f>
        <v>جلو آمپر207 اتوماتیک85 گانه</v>
      </c>
      <c r="I202" s="11" t="s">
        <v>547</v>
      </c>
      <c r="J202" s="11" t="s">
        <v>723</v>
      </c>
      <c r="K202" s="11" t="s">
        <v>261</v>
      </c>
      <c r="L202" s="11" t="s">
        <v>261</v>
      </c>
      <c r="M202" s="11" t="s">
        <v>261</v>
      </c>
      <c r="N202" s="11" t="s">
        <v>261</v>
      </c>
      <c r="O202" s="11" t="s">
        <v>261</v>
      </c>
      <c r="P202" s="11" t="s">
        <v>261</v>
      </c>
      <c r="Q202" s="11" t="s">
        <v>961</v>
      </c>
      <c r="R202" s="11" t="s">
        <v>261</v>
      </c>
      <c r="S202" s="11" t="s">
        <v>261</v>
      </c>
      <c r="T202" s="11" t="s">
        <v>552</v>
      </c>
      <c r="U202" s="11" t="s">
        <v>784</v>
      </c>
      <c r="V202" s="11">
        <v>1</v>
      </c>
      <c r="W202" s="11" t="s">
        <v>31</v>
      </c>
      <c r="X202" s="11" t="s">
        <v>261</v>
      </c>
      <c r="Y202" s="11" t="s">
        <v>261</v>
      </c>
      <c r="Z202" s="11" t="s">
        <v>261</v>
      </c>
      <c r="AA202" s="11" t="s">
        <v>583</v>
      </c>
      <c r="AB202" s="11" t="s">
        <v>261</v>
      </c>
      <c r="AC202" s="11" t="s">
        <v>261</v>
      </c>
      <c r="AD202" s="11" t="s">
        <v>551</v>
      </c>
      <c r="AE202" s="12" t="s">
        <v>261</v>
      </c>
      <c r="AF202" s="11" t="s">
        <v>261</v>
      </c>
    </row>
    <row r="203" spans="1:32" ht="45" hidden="1" x14ac:dyDescent="0.25">
      <c r="A203" s="11">
        <v>1</v>
      </c>
      <c r="B203" s="11">
        <v>210103</v>
      </c>
      <c r="C203" s="11" t="s">
        <v>590</v>
      </c>
      <c r="D203" s="11" t="str">
        <f>MID(Table22[[#This Row],[تاريخ تاييد]],1,7)</f>
        <v>1403/12</v>
      </c>
      <c r="E203" s="11" t="str">
        <f>MID(Table22[[#This Row],[تاريخ تاييد]],6,2)</f>
        <v>12</v>
      </c>
      <c r="F203" s="11" t="str">
        <f>LEFT(Table22[[#This Row],[تاريخ تاييد]],4)</f>
        <v>1403</v>
      </c>
      <c r="G203" s="11" t="str">
        <f>VLOOKUP(Table22[[#This Row],[شماره فني]],Sheet7!A:C,3,0)</f>
        <v>کلید شیشه بالابر</v>
      </c>
      <c r="H203" s="11" t="str">
        <f>VLOOKUP(Table22[[#This Row],[شماره فني]],Sheet7!A:B,2,0)</f>
        <v>کلید شیشه بالابر جلو چپ سورن</v>
      </c>
      <c r="I203" s="11" t="s">
        <v>591</v>
      </c>
      <c r="J203" s="11" t="s">
        <v>334</v>
      </c>
      <c r="K203" s="11" t="s">
        <v>261</v>
      </c>
      <c r="L203" s="11" t="s">
        <v>261</v>
      </c>
      <c r="M203" s="11" t="s">
        <v>261</v>
      </c>
      <c r="N203" s="11" t="s">
        <v>261</v>
      </c>
      <c r="O203" s="11" t="s">
        <v>261</v>
      </c>
      <c r="P203" s="11" t="s">
        <v>261</v>
      </c>
      <c r="Q203" s="11" t="s">
        <v>961</v>
      </c>
      <c r="R203" s="11" t="s">
        <v>261</v>
      </c>
      <c r="S203" s="11" t="s">
        <v>261</v>
      </c>
      <c r="T203" s="11" t="s">
        <v>552</v>
      </c>
      <c r="U203" s="11" t="s">
        <v>784</v>
      </c>
      <c r="V203" s="11">
        <v>1</v>
      </c>
      <c r="W203" s="11" t="s">
        <v>306</v>
      </c>
      <c r="X203" s="11" t="s">
        <v>261</v>
      </c>
      <c r="Y203" s="11" t="s">
        <v>261</v>
      </c>
      <c r="Z203" s="11" t="s">
        <v>261</v>
      </c>
      <c r="AA203" s="11" t="s">
        <v>583</v>
      </c>
      <c r="AB203" s="11" t="s">
        <v>261</v>
      </c>
      <c r="AC203" s="11" t="s">
        <v>261</v>
      </c>
      <c r="AD203" s="11" t="s">
        <v>551</v>
      </c>
      <c r="AE203" s="12" t="s">
        <v>261</v>
      </c>
      <c r="AF203" s="11" t="s">
        <v>261</v>
      </c>
    </row>
    <row r="204" spans="1:32" ht="45" hidden="1" x14ac:dyDescent="0.25">
      <c r="A204" s="11">
        <v>1</v>
      </c>
      <c r="B204" s="11">
        <v>210276</v>
      </c>
      <c r="C204" s="11" t="s">
        <v>592</v>
      </c>
      <c r="D204" s="11" t="str">
        <f>MID(Table22[[#This Row],[تاريخ تاييد]],1,7)</f>
        <v>1403/12</v>
      </c>
      <c r="E204" s="11" t="str">
        <f>MID(Table22[[#This Row],[تاريخ تاييد]],6,2)</f>
        <v>12</v>
      </c>
      <c r="F204" s="11" t="str">
        <f>LEFT(Table22[[#This Row],[تاريخ تاييد]],4)</f>
        <v>1403</v>
      </c>
      <c r="G204" s="11" t="str">
        <f>VLOOKUP(Table22[[#This Row],[شماره فني]],Sheet7!A:C,3,0)</f>
        <v>جلو آمپر</v>
      </c>
      <c r="H204" s="11" t="str">
        <f>VLOOKUP(Table22[[#This Row],[شماره فني]],Sheet7!A:B,2,0)</f>
        <v>جلو آمپر تارا دستی</v>
      </c>
      <c r="I204" s="11" t="s">
        <v>593</v>
      </c>
      <c r="J204" s="11" t="s">
        <v>724</v>
      </c>
      <c r="K204" s="11" t="s">
        <v>261</v>
      </c>
      <c r="L204" s="11" t="s">
        <v>261</v>
      </c>
      <c r="M204" s="11" t="s">
        <v>261</v>
      </c>
      <c r="N204" s="11" t="s">
        <v>261</v>
      </c>
      <c r="O204" s="11" t="s">
        <v>261</v>
      </c>
      <c r="P204" s="11" t="s">
        <v>261</v>
      </c>
      <c r="Q204" s="11" t="s">
        <v>961</v>
      </c>
      <c r="R204" s="11" t="s">
        <v>261</v>
      </c>
      <c r="S204" s="11" t="s">
        <v>261</v>
      </c>
      <c r="T204" s="11" t="s">
        <v>552</v>
      </c>
      <c r="U204" s="11" t="s">
        <v>784</v>
      </c>
      <c r="V204" s="11">
        <v>1</v>
      </c>
      <c r="W204" s="11" t="s">
        <v>97</v>
      </c>
      <c r="X204" s="11" t="s">
        <v>261</v>
      </c>
      <c r="Y204" s="11" t="s">
        <v>261</v>
      </c>
      <c r="Z204" s="11" t="s">
        <v>261</v>
      </c>
      <c r="AA204" s="11" t="s">
        <v>583</v>
      </c>
      <c r="AB204" s="11" t="s">
        <v>261</v>
      </c>
      <c r="AC204" s="11" t="s">
        <v>261</v>
      </c>
      <c r="AD204" s="11" t="s">
        <v>551</v>
      </c>
      <c r="AE204" s="12" t="s">
        <v>261</v>
      </c>
      <c r="AF204" s="11" t="s">
        <v>261</v>
      </c>
    </row>
    <row r="205" spans="1:32" ht="75" hidden="1" x14ac:dyDescent="0.25">
      <c r="A205" s="11">
        <v>1</v>
      </c>
      <c r="B205" s="11">
        <v>210392</v>
      </c>
      <c r="C205" s="11" t="s">
        <v>594</v>
      </c>
      <c r="D205" s="11" t="str">
        <f>MID(Table22[[#This Row],[تاريخ تاييد]],1,7)</f>
        <v>1403/12</v>
      </c>
      <c r="E205" s="11" t="str">
        <f>MID(Table22[[#This Row],[تاريخ تاييد]],6,2)</f>
        <v>12</v>
      </c>
      <c r="F205" s="11" t="str">
        <f>LEFT(Table22[[#This Row],[تاريخ تاييد]],4)</f>
        <v>1403</v>
      </c>
      <c r="G205" s="11" t="str">
        <f>VLOOKUP(Table22[[#This Row],[شماره فني]],Sheet7!A:C,3,0)</f>
        <v>NOD</v>
      </c>
      <c r="H205" s="11" t="str">
        <f>VLOOKUP(Table22[[#This Row],[شماره فني]],Sheet7!A:B,2,0)</f>
        <v>NBCM TARA SAL</v>
      </c>
      <c r="I205" s="11" t="s">
        <v>595</v>
      </c>
      <c r="J205" s="11" t="s">
        <v>730</v>
      </c>
      <c r="K205" s="11" t="s">
        <v>23</v>
      </c>
      <c r="L205" s="11" t="s">
        <v>762</v>
      </c>
      <c r="M205" s="11" t="s">
        <v>261</v>
      </c>
      <c r="N205" s="11" t="s">
        <v>261</v>
      </c>
      <c r="O205" s="11" t="s">
        <v>261</v>
      </c>
      <c r="P205" s="11" t="s">
        <v>261</v>
      </c>
      <c r="Q205" s="11" t="s">
        <v>835</v>
      </c>
      <c r="R205" s="11" t="s">
        <v>837</v>
      </c>
      <c r="S205" s="11" t="s">
        <v>985</v>
      </c>
      <c r="T205" s="11" t="s">
        <v>836</v>
      </c>
      <c r="U205" s="11" t="s">
        <v>836</v>
      </c>
      <c r="V205" s="11">
        <v>1</v>
      </c>
      <c r="W205" s="11" t="s">
        <v>95</v>
      </c>
      <c r="X205" s="11" t="s">
        <v>261</v>
      </c>
      <c r="Y205" s="11" t="s">
        <v>762</v>
      </c>
      <c r="Z205" s="11" t="s">
        <v>66</v>
      </c>
      <c r="AA205" s="11" t="s">
        <v>29</v>
      </c>
      <c r="AB205" s="11" t="s">
        <v>261</v>
      </c>
      <c r="AC205" s="11" t="s">
        <v>261</v>
      </c>
      <c r="AD205" s="11" t="s">
        <v>551</v>
      </c>
      <c r="AE205" s="12" t="s">
        <v>261</v>
      </c>
      <c r="AF205" s="11" t="s">
        <v>261</v>
      </c>
    </row>
    <row r="206" spans="1:32" ht="30" hidden="1" x14ac:dyDescent="0.25">
      <c r="A206" s="11">
        <v>1</v>
      </c>
      <c r="B206" s="11">
        <v>210416</v>
      </c>
      <c r="C206" s="11" t="s">
        <v>594</v>
      </c>
      <c r="D206" s="11" t="str">
        <f>MID(Table22[[#This Row],[تاريخ تاييد]],1,7)</f>
        <v>1403/12</v>
      </c>
      <c r="E206" s="11" t="str">
        <f>MID(Table22[[#This Row],[تاريخ تاييد]],6,2)</f>
        <v>12</v>
      </c>
      <c r="F206" s="11" t="str">
        <f>LEFT(Table22[[#This Row],[تاريخ تاييد]],4)</f>
        <v>1403</v>
      </c>
      <c r="G206" s="11" t="str">
        <f>VLOOKUP(Table22[[#This Row],[شماره فني]],Sheet7!A:C,3,0)</f>
        <v>جلو آمپر</v>
      </c>
      <c r="H206" s="11" t="str">
        <f>VLOOKUP(Table22[[#This Row],[شماره فني]],Sheet7!A:B,2,0)</f>
        <v>جلو آمپر207  معمولی85 گانه</v>
      </c>
      <c r="I206" s="11" t="s">
        <v>596</v>
      </c>
      <c r="J206" s="11" t="s">
        <v>233</v>
      </c>
      <c r="K206" s="11" t="s">
        <v>22</v>
      </c>
      <c r="L206" s="11" t="s">
        <v>762</v>
      </c>
      <c r="M206" s="11" t="s">
        <v>261</v>
      </c>
      <c r="N206" s="11" t="s">
        <v>261</v>
      </c>
      <c r="O206" s="11" t="s">
        <v>261</v>
      </c>
      <c r="P206" s="11" t="s">
        <v>261</v>
      </c>
      <c r="Q206" s="11" t="s">
        <v>765</v>
      </c>
      <c r="R206" s="11" t="s">
        <v>261</v>
      </c>
      <c r="S206" s="11" t="s">
        <v>985</v>
      </c>
      <c r="T206" s="11" t="s">
        <v>1092</v>
      </c>
      <c r="U206" s="11" t="s">
        <v>1093</v>
      </c>
      <c r="V206" s="11">
        <v>1</v>
      </c>
      <c r="W206" s="11" t="s">
        <v>30</v>
      </c>
      <c r="X206" s="11" t="s">
        <v>261</v>
      </c>
      <c r="Y206" s="11" t="s">
        <v>762</v>
      </c>
      <c r="Z206" s="11" t="s">
        <v>66</v>
      </c>
      <c r="AA206" s="11" t="s">
        <v>583</v>
      </c>
      <c r="AB206" s="11" t="s">
        <v>261</v>
      </c>
      <c r="AC206" s="11" t="s">
        <v>1094</v>
      </c>
      <c r="AD206" s="11" t="s">
        <v>551</v>
      </c>
      <c r="AE206" s="12" t="s">
        <v>261</v>
      </c>
      <c r="AF206" s="11" t="s">
        <v>261</v>
      </c>
    </row>
    <row r="207" spans="1:32" ht="45" hidden="1" x14ac:dyDescent="0.25">
      <c r="A207" s="11">
        <v>1</v>
      </c>
      <c r="B207" s="11">
        <v>210564</v>
      </c>
      <c r="C207" s="11" t="s">
        <v>597</v>
      </c>
      <c r="D207" s="11" t="str">
        <f>MID(Table22[[#This Row],[تاريخ تاييد]],1,7)</f>
        <v>1403/12</v>
      </c>
      <c r="E207" s="11" t="str">
        <f>MID(Table22[[#This Row],[تاريخ تاييد]],6,2)</f>
        <v>12</v>
      </c>
      <c r="F207" s="11" t="str">
        <f>LEFT(Table22[[#This Row],[تاريخ تاييد]],4)</f>
        <v>1403</v>
      </c>
      <c r="G207" s="11" t="str">
        <f>VLOOKUP(Table22[[#This Row],[شماره فني]],Sheet7!A:C,3,0)</f>
        <v>جلو آمپر</v>
      </c>
      <c r="H207" s="11" t="str">
        <f>VLOOKUP(Table22[[#This Row],[شماره فني]],Sheet7!A:B,2,0)</f>
        <v>جلو آمپر207 اتوماتیک85 گانه</v>
      </c>
      <c r="I207" s="11" t="s">
        <v>598</v>
      </c>
      <c r="J207" s="11" t="s">
        <v>724</v>
      </c>
      <c r="K207" s="11" t="s">
        <v>261</v>
      </c>
      <c r="L207" s="11" t="s">
        <v>261</v>
      </c>
      <c r="M207" s="11" t="s">
        <v>261</v>
      </c>
      <c r="N207" s="11" t="s">
        <v>261</v>
      </c>
      <c r="O207" s="11" t="s">
        <v>261</v>
      </c>
      <c r="P207" s="11" t="s">
        <v>261</v>
      </c>
      <c r="Q207" s="11" t="s">
        <v>961</v>
      </c>
      <c r="R207" s="11" t="s">
        <v>261</v>
      </c>
      <c r="S207" s="11" t="s">
        <v>261</v>
      </c>
      <c r="T207" s="11" t="s">
        <v>552</v>
      </c>
      <c r="U207" s="11" t="s">
        <v>784</v>
      </c>
      <c r="V207" s="11">
        <v>1</v>
      </c>
      <c r="W207" s="11" t="s">
        <v>31</v>
      </c>
      <c r="X207" s="11" t="s">
        <v>261</v>
      </c>
      <c r="Y207" s="11" t="s">
        <v>261</v>
      </c>
      <c r="Z207" s="11" t="s">
        <v>261</v>
      </c>
      <c r="AA207" s="11" t="s">
        <v>583</v>
      </c>
      <c r="AB207" s="11" t="s">
        <v>261</v>
      </c>
      <c r="AC207" s="11" t="s">
        <v>261</v>
      </c>
      <c r="AD207" s="11" t="s">
        <v>551</v>
      </c>
      <c r="AE207" s="12" t="s">
        <v>261</v>
      </c>
      <c r="AF207" s="11" t="s">
        <v>261</v>
      </c>
    </row>
    <row r="208" spans="1:32" ht="30" hidden="1" x14ac:dyDescent="0.25">
      <c r="A208" s="11">
        <v>1</v>
      </c>
      <c r="B208" s="11">
        <v>210635</v>
      </c>
      <c r="C208" s="11" t="s">
        <v>599</v>
      </c>
      <c r="D208" s="11" t="str">
        <f>MID(Table22[[#This Row],[تاريخ تاييد]],1,7)</f>
        <v>1403/12</v>
      </c>
      <c r="E208" s="11" t="str">
        <f>MID(Table22[[#This Row],[تاريخ تاييد]],6,2)</f>
        <v>12</v>
      </c>
      <c r="F208" s="11" t="str">
        <f>LEFT(Table22[[#This Row],[تاريخ تاييد]],4)</f>
        <v>1403</v>
      </c>
      <c r="G208" s="11" t="str">
        <f>VLOOKUP(Table22[[#This Row],[شماره فني]],Sheet7!A:C,3,0)</f>
        <v>NOD</v>
      </c>
      <c r="H208" s="11" t="str">
        <f>VLOOKUP(Table22[[#This Row],[شماره فني]],Sheet7!A:B,2,0)</f>
        <v>NBCM 207</v>
      </c>
      <c r="I208" s="11" t="s">
        <v>600</v>
      </c>
      <c r="J208" s="11" t="s">
        <v>1081</v>
      </c>
      <c r="K208" s="11" t="s">
        <v>22</v>
      </c>
      <c r="L208" s="11" t="s">
        <v>762</v>
      </c>
      <c r="M208" s="11" t="s">
        <v>261</v>
      </c>
      <c r="N208" s="11" t="s">
        <v>261</v>
      </c>
      <c r="O208" s="11" t="s">
        <v>261</v>
      </c>
      <c r="P208" s="11" t="s">
        <v>261</v>
      </c>
      <c r="Q208" s="11" t="s">
        <v>607</v>
      </c>
      <c r="R208" s="11" t="s">
        <v>984</v>
      </c>
      <c r="S208" s="12" t="s">
        <v>818</v>
      </c>
      <c r="T208" s="11" t="s">
        <v>824</v>
      </c>
      <c r="U208" s="11" t="s">
        <v>766</v>
      </c>
      <c r="V208" s="11">
        <v>1</v>
      </c>
      <c r="W208" s="11" t="s">
        <v>19</v>
      </c>
      <c r="X208" s="11" t="s">
        <v>261</v>
      </c>
      <c r="Y208" s="11" t="s">
        <v>261</v>
      </c>
      <c r="Z208" s="11" t="s">
        <v>261</v>
      </c>
      <c r="AA208" s="11" t="s">
        <v>27</v>
      </c>
      <c r="AB208" s="11" t="s">
        <v>986</v>
      </c>
      <c r="AC208" s="11" t="s">
        <v>261</v>
      </c>
      <c r="AD208" s="11" t="s">
        <v>551</v>
      </c>
      <c r="AE208" s="12" t="s">
        <v>261</v>
      </c>
      <c r="AF208" s="11" t="s">
        <v>261</v>
      </c>
    </row>
    <row r="209" spans="1:32" ht="30" hidden="1" x14ac:dyDescent="0.25">
      <c r="A209" s="11">
        <v>1</v>
      </c>
      <c r="B209" s="11">
        <v>210637</v>
      </c>
      <c r="C209" s="11" t="s">
        <v>601</v>
      </c>
      <c r="D209" s="11" t="str">
        <f>MID(Table22[[#This Row],[تاريخ تاييد]],1,7)</f>
        <v>1403/12</v>
      </c>
      <c r="E209" s="11" t="str">
        <f>MID(Table22[[#This Row],[تاريخ تاييد]],6,2)</f>
        <v>12</v>
      </c>
      <c r="F209" s="11" t="str">
        <f>LEFT(Table22[[#This Row],[تاريخ تاييد]],4)</f>
        <v>1403</v>
      </c>
      <c r="G209" s="11" t="str">
        <f>VLOOKUP(Table22[[#This Row],[شماره فني]],Sheet7!A:C,3,0)</f>
        <v>NOD</v>
      </c>
      <c r="H209" s="11" t="str">
        <f>VLOOKUP(Table22[[#This Row],[شماره فني]],Sheet7!A:B,2,0)</f>
        <v>NBCM 207</v>
      </c>
      <c r="I209" s="11" t="s">
        <v>602</v>
      </c>
      <c r="J209" s="11" t="s">
        <v>730</v>
      </c>
      <c r="K209" s="11" t="s">
        <v>22</v>
      </c>
      <c r="L209" s="11" t="s">
        <v>762</v>
      </c>
      <c r="M209" s="11" t="s">
        <v>261</v>
      </c>
      <c r="N209" s="11" t="s">
        <v>261</v>
      </c>
      <c r="O209" s="11" t="s">
        <v>261</v>
      </c>
      <c r="P209" s="11" t="s">
        <v>261</v>
      </c>
      <c r="Q209" s="11" t="s">
        <v>606</v>
      </c>
      <c r="R209" s="11" t="s">
        <v>261</v>
      </c>
      <c r="S209" s="11" t="s">
        <v>799</v>
      </c>
      <c r="T209" s="11" t="s">
        <v>821</v>
      </c>
      <c r="U209" s="11" t="s">
        <v>616</v>
      </c>
      <c r="V209" s="11">
        <v>1</v>
      </c>
      <c r="W209" s="11" t="s">
        <v>19</v>
      </c>
      <c r="X209" s="11" t="s">
        <v>261</v>
      </c>
      <c r="Y209" s="11" t="s">
        <v>762</v>
      </c>
      <c r="Z209" s="11" t="s">
        <v>66</v>
      </c>
      <c r="AA209" s="11" t="s">
        <v>29</v>
      </c>
      <c r="AB209" s="11" t="s">
        <v>261</v>
      </c>
      <c r="AC209" s="11" t="s">
        <v>261</v>
      </c>
      <c r="AD209" s="11" t="s">
        <v>551</v>
      </c>
      <c r="AE209" s="12" t="s">
        <v>261</v>
      </c>
      <c r="AF209" s="11" t="s">
        <v>261</v>
      </c>
    </row>
    <row r="210" spans="1:32" ht="30" hidden="1" x14ac:dyDescent="0.25">
      <c r="A210" s="11">
        <v>1</v>
      </c>
      <c r="B210" s="11">
        <v>210677</v>
      </c>
      <c r="C210" s="11" t="s">
        <v>601</v>
      </c>
      <c r="D210" s="11" t="str">
        <f>MID(Table22[[#This Row],[تاريخ تاييد]],1,7)</f>
        <v>1403/12</v>
      </c>
      <c r="E210" s="11" t="str">
        <f>MID(Table22[[#This Row],[تاريخ تاييد]],6,2)</f>
        <v>12</v>
      </c>
      <c r="F210" s="11" t="str">
        <f>LEFT(Table22[[#This Row],[تاريخ تاييد]],4)</f>
        <v>1403</v>
      </c>
      <c r="G210" s="11" t="str">
        <f>VLOOKUP(Table22[[#This Row],[شماره فني]],Sheet7!A:C,3,0)</f>
        <v>جلو آمپر</v>
      </c>
      <c r="H210" s="11" t="str">
        <f>VLOOKUP(Table22[[#This Row],[شماره فني]],Sheet7!A:B,2,0)</f>
        <v>جلو آمپر207  معمولی85 گانه</v>
      </c>
      <c r="I210" s="11" t="s">
        <v>603</v>
      </c>
      <c r="J210" s="11" t="s">
        <v>335</v>
      </c>
      <c r="K210" s="11" t="s">
        <v>23</v>
      </c>
      <c r="L210" s="11" t="s">
        <v>762</v>
      </c>
      <c r="M210" s="11" t="s">
        <v>261</v>
      </c>
      <c r="N210" s="11" t="s">
        <v>261</v>
      </c>
      <c r="O210" s="11" t="s">
        <v>261</v>
      </c>
      <c r="P210" s="11" t="s">
        <v>261</v>
      </c>
      <c r="Q210" s="11" t="s">
        <v>964</v>
      </c>
      <c r="R210" s="11" t="s">
        <v>261</v>
      </c>
      <c r="S210" s="11" t="s">
        <v>261</v>
      </c>
      <c r="T210" s="11" t="s">
        <v>570</v>
      </c>
      <c r="U210" s="11" t="s">
        <v>570</v>
      </c>
      <c r="V210" s="11">
        <v>1</v>
      </c>
      <c r="W210" s="11" t="s">
        <v>30</v>
      </c>
      <c r="X210" s="11" t="s">
        <v>261</v>
      </c>
      <c r="Y210" s="11" t="s">
        <v>762</v>
      </c>
      <c r="Z210" s="11" t="s">
        <v>66</v>
      </c>
      <c r="AA210" s="11" t="s">
        <v>583</v>
      </c>
      <c r="AB210" s="11" t="s">
        <v>261</v>
      </c>
      <c r="AC210" s="11" t="s">
        <v>261</v>
      </c>
      <c r="AD210" s="11" t="s">
        <v>551</v>
      </c>
      <c r="AE210" s="12" t="s">
        <v>965</v>
      </c>
      <c r="AF210" s="11" t="s">
        <v>261</v>
      </c>
    </row>
    <row r="211" spans="1:32" ht="30" hidden="1" x14ac:dyDescent="0.25">
      <c r="A211" s="11">
        <v>1</v>
      </c>
      <c r="B211" s="11">
        <v>210679</v>
      </c>
      <c r="C211" s="11" t="s">
        <v>599</v>
      </c>
      <c r="D211" s="11" t="str">
        <f>MID(Table22[[#This Row],[تاريخ تاييد]],1,7)</f>
        <v>1403/12</v>
      </c>
      <c r="E211" s="11" t="str">
        <f>MID(Table22[[#This Row],[تاريخ تاييد]],6,2)</f>
        <v>12</v>
      </c>
      <c r="F211" s="11" t="str">
        <f>LEFT(Table22[[#This Row],[تاريخ تاييد]],4)</f>
        <v>1403</v>
      </c>
      <c r="G211" s="11" t="str">
        <f>VLOOKUP(Table22[[#This Row],[شماره فني]],Sheet7!A:C,3,0)</f>
        <v>جلو آمپر</v>
      </c>
      <c r="H211" s="11" t="str">
        <f>VLOOKUP(Table22[[#This Row],[شماره فني]],Sheet7!A:B,2,0)</f>
        <v>جلو آمپر207 اتوماتیک85 گانه</v>
      </c>
      <c r="I211" s="11" t="s">
        <v>604</v>
      </c>
      <c r="J211" s="11" t="s">
        <v>334</v>
      </c>
      <c r="K211" s="11" t="s">
        <v>23</v>
      </c>
      <c r="L211" s="11" t="s">
        <v>762</v>
      </c>
      <c r="M211" s="11" t="s">
        <v>261</v>
      </c>
      <c r="N211" s="11" t="s">
        <v>261</v>
      </c>
      <c r="O211" s="11" t="s">
        <v>261</v>
      </c>
      <c r="P211" s="11" t="s">
        <v>261</v>
      </c>
      <c r="Q211" s="11" t="s">
        <v>763</v>
      </c>
      <c r="R211" s="11" t="s">
        <v>764</v>
      </c>
      <c r="S211" s="11" t="s">
        <v>816</v>
      </c>
      <c r="T211" s="11" t="s">
        <v>918</v>
      </c>
      <c r="U211" s="11" t="s">
        <v>764</v>
      </c>
      <c r="V211" s="11">
        <v>1</v>
      </c>
      <c r="W211" s="11" t="s">
        <v>31</v>
      </c>
      <c r="X211" s="11" t="s">
        <v>261</v>
      </c>
      <c r="Y211" s="11" t="s">
        <v>762</v>
      </c>
      <c r="Z211" s="11" t="s">
        <v>66</v>
      </c>
      <c r="AA211" s="11" t="s">
        <v>26</v>
      </c>
      <c r="AB211" s="11" t="s">
        <v>261</v>
      </c>
      <c r="AC211" s="11" t="s">
        <v>261</v>
      </c>
      <c r="AD211" s="11" t="s">
        <v>551</v>
      </c>
      <c r="AE211" s="12" t="s">
        <v>261</v>
      </c>
      <c r="AF211" s="11" t="s">
        <v>261</v>
      </c>
    </row>
    <row r="212" spans="1:32" ht="30" hidden="1" x14ac:dyDescent="0.25">
      <c r="A212" s="11">
        <v>1</v>
      </c>
      <c r="B212" s="11">
        <v>210750</v>
      </c>
      <c r="C212" s="11" t="s">
        <v>599</v>
      </c>
      <c r="D212" s="11" t="str">
        <f>MID(Table22[[#This Row],[تاريخ تاييد]],1,7)</f>
        <v>1403/12</v>
      </c>
      <c r="E212" s="11" t="str">
        <f>MID(Table22[[#This Row],[تاريخ تاييد]],6,2)</f>
        <v>12</v>
      </c>
      <c r="F212" s="11" t="str">
        <f>LEFT(Table22[[#This Row],[تاريخ تاييد]],4)</f>
        <v>1403</v>
      </c>
      <c r="G212" s="11" t="str">
        <f>VLOOKUP(Table22[[#This Row],[شماره فني]],Sheet7!A:C,3,0)</f>
        <v>NOD</v>
      </c>
      <c r="H212" s="11" t="str">
        <f>VLOOKUP(Table22[[#This Row],[شماره فني]],Sheet7!A:B,2,0)</f>
        <v>NBCM TARA SAL</v>
      </c>
      <c r="I212" s="11" t="s">
        <v>605</v>
      </c>
      <c r="J212" s="11" t="s">
        <v>724</v>
      </c>
      <c r="K212" s="11" t="s">
        <v>23</v>
      </c>
      <c r="L212" s="11" t="s">
        <v>769</v>
      </c>
      <c r="M212" s="11" t="s">
        <v>261</v>
      </c>
      <c r="N212" s="11" t="s">
        <v>261</v>
      </c>
      <c r="O212" s="11" t="s">
        <v>261</v>
      </c>
      <c r="P212" s="11" t="s">
        <v>261</v>
      </c>
      <c r="Q212" s="11" t="s">
        <v>771</v>
      </c>
      <c r="R212" s="11" t="s">
        <v>772</v>
      </c>
      <c r="S212" s="11" t="s">
        <v>830</v>
      </c>
      <c r="T212" s="11" t="s">
        <v>901</v>
      </c>
      <c r="U212" s="11" t="s">
        <v>773</v>
      </c>
      <c r="V212" s="11">
        <v>1</v>
      </c>
      <c r="W212" s="11" t="s">
        <v>95</v>
      </c>
      <c r="X212" s="11" t="s">
        <v>261</v>
      </c>
      <c r="Y212" s="11" t="s">
        <v>769</v>
      </c>
      <c r="Z212" s="11" t="s">
        <v>66</v>
      </c>
      <c r="AA212" s="11" t="s">
        <v>27</v>
      </c>
      <c r="AB212" s="11" t="s">
        <v>986</v>
      </c>
      <c r="AC212" s="11" t="s">
        <v>774</v>
      </c>
      <c r="AD212" s="11" t="s">
        <v>551</v>
      </c>
      <c r="AE212" s="12" t="s">
        <v>261</v>
      </c>
      <c r="AF212" s="11" t="s">
        <v>261</v>
      </c>
    </row>
    <row r="213" spans="1:32" ht="30" hidden="1" x14ac:dyDescent="0.25">
      <c r="A213" s="11">
        <v>1</v>
      </c>
      <c r="B213" s="11">
        <v>210931</v>
      </c>
      <c r="C213" s="11" t="s">
        <v>779</v>
      </c>
      <c r="D213" s="11" t="str">
        <f>MID(Table22[[#This Row],[تاريخ تاييد]],1,7)</f>
        <v>1403/12</v>
      </c>
      <c r="E213" s="11" t="str">
        <f>MID(Table22[[#This Row],[تاريخ تاييد]],6,2)</f>
        <v>12</v>
      </c>
      <c r="F213" s="11" t="str">
        <f>LEFT(Table22[[#This Row],[تاريخ تاييد]],4)</f>
        <v>1403</v>
      </c>
      <c r="G213" s="11" t="str">
        <f>VLOOKUP(Table22[[#This Row],[شماره فني]],Sheet7!A:C,3,0)</f>
        <v>جلو آمپر</v>
      </c>
      <c r="H213" s="11" t="str">
        <f>VLOOKUP(Table22[[#This Row],[شماره فني]],Sheet7!A:B,2,0)</f>
        <v>جلو آمپر تارا اتوماتیک</v>
      </c>
      <c r="I213" s="11" t="s">
        <v>778</v>
      </c>
      <c r="J213" s="11" t="s">
        <v>724</v>
      </c>
      <c r="K213" s="11" t="s">
        <v>22</v>
      </c>
      <c r="L213" s="11" t="s">
        <v>769</v>
      </c>
      <c r="M213" s="11" t="s">
        <v>261</v>
      </c>
      <c r="N213" s="11" t="s">
        <v>261</v>
      </c>
      <c r="O213" s="11" t="s">
        <v>261</v>
      </c>
      <c r="P213" s="11" t="s">
        <v>261</v>
      </c>
      <c r="Q213" s="11" t="s">
        <v>780</v>
      </c>
      <c r="R213" s="11" t="s">
        <v>261</v>
      </c>
      <c r="S213" s="11" t="s">
        <v>820</v>
      </c>
      <c r="T213" s="11" t="s">
        <v>797</v>
      </c>
      <c r="U213" s="11" t="s">
        <v>583</v>
      </c>
      <c r="V213" s="11">
        <v>3</v>
      </c>
      <c r="W213" s="11" t="s">
        <v>20</v>
      </c>
      <c r="X213" s="11" t="s">
        <v>261</v>
      </c>
      <c r="Y213" s="11" t="s">
        <v>769</v>
      </c>
      <c r="Z213" s="11" t="s">
        <v>66</v>
      </c>
      <c r="AA213" s="11" t="s">
        <v>28</v>
      </c>
      <c r="AB213" s="11" t="s">
        <v>261</v>
      </c>
      <c r="AC213" s="11" t="s">
        <v>781</v>
      </c>
      <c r="AD213" s="11" t="s">
        <v>551</v>
      </c>
      <c r="AE213" s="12" t="s">
        <v>261</v>
      </c>
      <c r="AF213" s="11" t="s">
        <v>261</v>
      </c>
    </row>
    <row r="214" spans="1:32" ht="30" hidden="1" x14ac:dyDescent="0.25">
      <c r="A214" s="11">
        <v>1</v>
      </c>
      <c r="B214" s="11">
        <v>211052</v>
      </c>
      <c r="C214" s="11" t="s">
        <v>775</v>
      </c>
      <c r="D214" s="11" t="str">
        <f>MID(Table22[[#This Row],[تاريخ تاييد]],1,7)</f>
        <v>1403/12</v>
      </c>
      <c r="E214" s="11" t="str">
        <f>MID(Table22[[#This Row],[تاريخ تاييد]],6,2)</f>
        <v>12</v>
      </c>
      <c r="F214" s="11" t="str">
        <f>LEFT(Table22[[#This Row],[تاريخ تاييد]],4)</f>
        <v>1403</v>
      </c>
      <c r="G214" s="11" t="str">
        <f>VLOOKUP(Table22[[#This Row],[شماره فني]],Sheet7!A:C,3,0)</f>
        <v>NOD</v>
      </c>
      <c r="H214" s="11" t="str">
        <f>VLOOKUP(Table22[[#This Row],[شماره فني]],Sheet7!A:B,2,0)</f>
        <v>NBCM TARA SAL</v>
      </c>
      <c r="I214" s="11" t="s">
        <v>782</v>
      </c>
      <c r="J214" s="11" t="s">
        <v>232</v>
      </c>
      <c r="K214" s="11" t="s">
        <v>22</v>
      </c>
      <c r="L214" s="11" t="s">
        <v>769</v>
      </c>
      <c r="M214" s="11" t="s">
        <v>261</v>
      </c>
      <c r="N214" s="11" t="s">
        <v>261</v>
      </c>
      <c r="O214" s="11" t="s">
        <v>261</v>
      </c>
      <c r="P214" s="11" t="s">
        <v>261</v>
      </c>
      <c r="Q214" s="11" t="s">
        <v>783</v>
      </c>
      <c r="R214" s="11" t="s">
        <v>261</v>
      </c>
      <c r="S214" s="11" t="s">
        <v>822</v>
      </c>
      <c r="T214" s="11" t="s">
        <v>797</v>
      </c>
      <c r="U214" s="11" t="s">
        <v>561</v>
      </c>
      <c r="V214" s="11">
        <v>1</v>
      </c>
      <c r="W214" s="11" t="s">
        <v>95</v>
      </c>
      <c r="X214" s="11" t="s">
        <v>261</v>
      </c>
      <c r="Y214" s="11" t="s">
        <v>769</v>
      </c>
      <c r="Z214" s="11" t="s">
        <v>66</v>
      </c>
      <c r="AA214" s="11" t="s">
        <v>28</v>
      </c>
      <c r="AB214" s="11" t="s">
        <v>261</v>
      </c>
      <c r="AC214" s="11" t="s">
        <v>261</v>
      </c>
      <c r="AD214" s="11" t="s">
        <v>551</v>
      </c>
      <c r="AE214" s="12" t="s">
        <v>261</v>
      </c>
      <c r="AF214" s="11" t="s">
        <v>261</v>
      </c>
    </row>
    <row r="215" spans="1:32" ht="30" hidden="1" x14ac:dyDescent="0.25">
      <c r="A215" s="11">
        <v>1</v>
      </c>
      <c r="B215" s="11">
        <v>211066</v>
      </c>
      <c r="C215" s="11" t="s">
        <v>775</v>
      </c>
      <c r="D215" s="11" t="str">
        <f>MID(Table22[[#This Row],[تاريخ تاييد]],1,7)</f>
        <v>1403/12</v>
      </c>
      <c r="E215" s="11" t="str">
        <f>MID(Table22[[#This Row],[تاريخ تاييد]],6,2)</f>
        <v>12</v>
      </c>
      <c r="F215" s="11" t="str">
        <f>LEFT(Table22[[#This Row],[تاريخ تاييد]],4)</f>
        <v>1403</v>
      </c>
      <c r="G215" s="11" t="str">
        <f>VLOOKUP(Table22[[#This Row],[شماره فني]],Sheet7!A:C,3,0)</f>
        <v>جلو آمپر</v>
      </c>
      <c r="H215" s="11" t="str">
        <f>VLOOKUP(Table22[[#This Row],[شماره فني]],Sheet7!A:B,2,0)</f>
        <v>جلو آمپر تارا اتوماتیک</v>
      </c>
      <c r="I215" s="11" t="s">
        <v>776</v>
      </c>
      <c r="J215" s="11" t="s">
        <v>724</v>
      </c>
      <c r="K215" s="11" t="s">
        <v>23</v>
      </c>
      <c r="L215" s="11" t="s">
        <v>769</v>
      </c>
      <c r="M215" s="11" t="s">
        <v>261</v>
      </c>
      <c r="N215" s="11" t="s">
        <v>261</v>
      </c>
      <c r="O215" s="11" t="s">
        <v>261</v>
      </c>
      <c r="P215" s="11" t="s">
        <v>261</v>
      </c>
      <c r="Q215" s="11" t="s">
        <v>777</v>
      </c>
      <c r="R215" s="11" t="s">
        <v>261</v>
      </c>
      <c r="S215" s="11" t="s">
        <v>261</v>
      </c>
      <c r="T215" s="11" t="s">
        <v>570</v>
      </c>
      <c r="U215" s="11" t="s">
        <v>570</v>
      </c>
      <c r="V215" s="11">
        <v>1</v>
      </c>
      <c r="W215" s="11" t="s">
        <v>20</v>
      </c>
      <c r="X215" s="11" t="s">
        <v>261</v>
      </c>
      <c r="Y215" s="11" t="s">
        <v>769</v>
      </c>
      <c r="Z215" s="11" t="s">
        <v>66</v>
      </c>
      <c r="AA215" s="11" t="s">
        <v>583</v>
      </c>
      <c r="AB215" s="11" t="s">
        <v>261</v>
      </c>
      <c r="AC215" s="11" t="s">
        <v>261</v>
      </c>
      <c r="AD215" s="11" t="s">
        <v>551</v>
      </c>
      <c r="AE215" s="12" t="s">
        <v>261</v>
      </c>
      <c r="AF215" s="11" t="s">
        <v>261</v>
      </c>
    </row>
    <row r="216" spans="1:32" ht="45" x14ac:dyDescent="0.25">
      <c r="A216" s="11">
        <v>1</v>
      </c>
      <c r="B216" s="11">
        <v>223908</v>
      </c>
      <c r="C216" s="11" t="s">
        <v>1172</v>
      </c>
      <c r="D216" s="11" t="str">
        <f>MID(Table22[[#This Row],[تاريخ تاييد]],1,7)</f>
        <v>1404/09</v>
      </c>
      <c r="E216" s="11" t="str">
        <f>MID(Table22[[#This Row],[تاريخ تاييد]],6,2)</f>
        <v>09</v>
      </c>
      <c r="F216" s="11" t="str">
        <f>LEFT(Table22[[#This Row],[تاريخ تاييد]],4)</f>
        <v>1404</v>
      </c>
      <c r="G216" s="11" t="str">
        <f>VLOOKUP(Table22[[#This Row],[شماره فني]],Sheet7!A:C,3,0)</f>
        <v>جلو آمپر</v>
      </c>
      <c r="H216" s="11" t="str">
        <f>VLOOKUP(Table22[[#This Row],[شماره فني]],Sheet7!A:B,2,0)</f>
        <v>جلو آمپر207 اتوماتیک85 گانه</v>
      </c>
      <c r="I216" s="11" t="s">
        <v>1173</v>
      </c>
      <c r="J216" s="11" t="s">
        <v>231</v>
      </c>
      <c r="K216" s="11" t="s">
        <v>261</v>
      </c>
      <c r="L216" s="11" t="s">
        <v>261</v>
      </c>
      <c r="M216" s="11" t="s">
        <v>261</v>
      </c>
      <c r="N216" s="11" t="s">
        <v>261</v>
      </c>
      <c r="O216" s="11" t="s">
        <v>261</v>
      </c>
      <c r="P216" s="11" t="s">
        <v>261</v>
      </c>
      <c r="Q216" s="11" t="s">
        <v>961</v>
      </c>
      <c r="R216" s="11" t="s">
        <v>261</v>
      </c>
      <c r="S216" s="11" t="s">
        <v>1242</v>
      </c>
      <c r="T216" s="11" t="s">
        <v>552</v>
      </c>
      <c r="U216" s="11" t="s">
        <v>784</v>
      </c>
      <c r="V216" s="11">
        <v>67</v>
      </c>
      <c r="W216" s="11" t="s">
        <v>31</v>
      </c>
      <c r="X216" s="11" t="s">
        <v>261</v>
      </c>
      <c r="Y216" s="11" t="s">
        <v>261</v>
      </c>
      <c r="Z216" s="11" t="s">
        <v>261</v>
      </c>
      <c r="AA216" s="11" t="s">
        <v>583</v>
      </c>
      <c r="AB216" s="11" t="s">
        <v>261</v>
      </c>
      <c r="AC216" s="11" t="s">
        <v>261</v>
      </c>
      <c r="AD216" s="11" t="s">
        <v>1219</v>
      </c>
      <c r="AE216" s="12" t="s">
        <v>261</v>
      </c>
      <c r="AF216" s="11" t="s">
        <v>261</v>
      </c>
    </row>
    <row r="217" spans="1:32" ht="30" hidden="1" x14ac:dyDescent="0.25">
      <c r="A217" s="11">
        <v>1</v>
      </c>
      <c r="B217" s="11">
        <v>225382</v>
      </c>
      <c r="C217" s="11" t="s">
        <v>1225</v>
      </c>
      <c r="D217" s="11" t="str">
        <f>MID(Table22[[#This Row],[تاريخ تاييد]],1,7)</f>
        <v>1404/10</v>
      </c>
      <c r="E217" s="11" t="str">
        <f>MID(Table22[[#This Row],[تاريخ تاييد]],6,2)</f>
        <v>10</v>
      </c>
      <c r="F217" s="11" t="str">
        <f>LEFT(Table22[[#This Row],[تاريخ تاييد]],4)</f>
        <v>1404</v>
      </c>
      <c r="G217" s="11" t="str">
        <f>VLOOKUP(Table22[[#This Row],[شماره فني]],Sheet7!A:C,3,0)</f>
        <v>NOD</v>
      </c>
      <c r="H217" s="11" t="str">
        <f>VLOOKUP(Table22[[#This Row],[شماره فني]],Sheet7!A:B,2,0)</f>
        <v>NBCM DENA SBR</v>
      </c>
      <c r="I217" s="11" t="s">
        <v>1183</v>
      </c>
      <c r="J217" s="11" t="s">
        <v>726</v>
      </c>
      <c r="K217" s="11" t="s">
        <v>22</v>
      </c>
      <c r="L217" s="11" t="s">
        <v>769</v>
      </c>
      <c r="M217" s="11" t="s">
        <v>261</v>
      </c>
      <c r="N217" s="11" t="s">
        <v>261</v>
      </c>
      <c r="O217" s="11" t="s">
        <v>261</v>
      </c>
      <c r="P217" s="11" t="s">
        <v>261</v>
      </c>
      <c r="Q217" s="11" t="s">
        <v>770</v>
      </c>
      <c r="R217" s="11" t="s">
        <v>261</v>
      </c>
      <c r="S217" s="11" t="s">
        <v>802</v>
      </c>
      <c r="T217" s="11" t="s">
        <v>797</v>
      </c>
      <c r="U217" s="11" t="s">
        <v>561</v>
      </c>
      <c r="V217" s="11">
        <v>10</v>
      </c>
      <c r="W217" s="11" t="s">
        <v>702</v>
      </c>
      <c r="X217" s="11" t="s">
        <v>261</v>
      </c>
      <c r="Y217" s="11" t="s">
        <v>261</v>
      </c>
      <c r="Z217" s="11" t="s">
        <v>261</v>
      </c>
      <c r="AA217" s="11" t="s">
        <v>28</v>
      </c>
      <c r="AB217" s="11" t="s">
        <v>261</v>
      </c>
      <c r="AC217" s="11" t="s">
        <v>261</v>
      </c>
      <c r="AD217" s="11" t="s">
        <v>1219</v>
      </c>
      <c r="AE217" s="12" t="s">
        <v>261</v>
      </c>
      <c r="AF217" s="11" t="s">
        <v>261</v>
      </c>
    </row>
    <row r="218" spans="1:32" ht="30" x14ac:dyDescent="0.25">
      <c r="A218" s="11">
        <v>1</v>
      </c>
      <c r="B218" s="11">
        <v>225378</v>
      </c>
      <c r="C218" s="11" t="s">
        <v>1225</v>
      </c>
      <c r="D218" s="11" t="str">
        <f>MID(Table22[[#This Row],[تاريخ تاييد]],1,7)</f>
        <v>1404/10</v>
      </c>
      <c r="E218" s="11" t="str">
        <f>MID(Table22[[#This Row],[تاريخ تاييد]],6,2)</f>
        <v>10</v>
      </c>
      <c r="F218" s="11" t="str">
        <f>LEFT(Table22[[#This Row],[تاريخ تاييد]],4)</f>
        <v>1404</v>
      </c>
      <c r="G218" s="11" t="str">
        <f>VLOOKUP(Table22[[#This Row],[شماره فني]],Sheet7!A:C,3,0)</f>
        <v>NOD</v>
      </c>
      <c r="H218" s="11" t="str">
        <f>VLOOKUP(Table22[[#This Row],[شماره فني]],Sheet7!A:B,2,0)</f>
        <v>SBM 207 SBR</v>
      </c>
      <c r="I218" s="11" t="s">
        <v>1184</v>
      </c>
      <c r="J218" s="11" t="s">
        <v>335</v>
      </c>
      <c r="K218" s="11" t="s">
        <v>22</v>
      </c>
      <c r="L218" s="11" t="s">
        <v>713</v>
      </c>
      <c r="M218" s="11" t="s">
        <v>261</v>
      </c>
      <c r="N218" s="11" t="s">
        <v>261</v>
      </c>
      <c r="O218" s="11" t="s">
        <v>261</v>
      </c>
      <c r="P218" s="11" t="s">
        <v>261</v>
      </c>
      <c r="Q218" s="11" t="s">
        <v>760</v>
      </c>
      <c r="R218" s="11" t="s">
        <v>261</v>
      </c>
      <c r="S218" s="11" t="s">
        <v>834</v>
      </c>
      <c r="T218" s="11" t="s">
        <v>833</v>
      </c>
      <c r="U218" s="11" t="s">
        <v>761</v>
      </c>
      <c r="V218" s="11">
        <v>6</v>
      </c>
      <c r="W218" s="11" t="s">
        <v>1070</v>
      </c>
      <c r="X218" s="11" t="s">
        <v>261</v>
      </c>
      <c r="Y218" s="11" t="s">
        <v>713</v>
      </c>
      <c r="Z218" s="11" t="s">
        <v>66</v>
      </c>
      <c r="AA218" s="11" t="s">
        <v>27</v>
      </c>
      <c r="AB218" s="11" t="s">
        <v>960</v>
      </c>
      <c r="AC218" s="11" t="s">
        <v>261</v>
      </c>
      <c r="AD218" s="11" t="s">
        <v>1219</v>
      </c>
      <c r="AE218" s="12" t="s">
        <v>261</v>
      </c>
      <c r="AF218" s="11" t="s">
        <v>261</v>
      </c>
    </row>
    <row r="219" spans="1:32" ht="45" x14ac:dyDescent="0.25">
      <c r="A219" s="11">
        <v>1</v>
      </c>
      <c r="B219" s="11">
        <v>225473</v>
      </c>
      <c r="C219" s="11" t="s">
        <v>1226</v>
      </c>
      <c r="D219" s="11" t="str">
        <f>MID(Table22[[#This Row],[تاريخ تاييد]],1,7)</f>
        <v>1404/10</v>
      </c>
      <c r="E219" s="11" t="str">
        <f>MID(Table22[[#This Row],[تاريخ تاييد]],6,2)</f>
        <v>10</v>
      </c>
      <c r="F219" s="11" t="str">
        <f>LEFT(Table22[[#This Row],[تاريخ تاييد]],4)</f>
        <v>1404</v>
      </c>
      <c r="G219" s="11" t="str">
        <f>VLOOKUP(Table22[[#This Row],[شماره فني]],Sheet7!A:C,3,0)</f>
        <v>NOD</v>
      </c>
      <c r="H219" s="11" t="str">
        <f>VLOOKUP(Table22[[#This Row],[شماره فني]],Sheet7!A:B,2,0)</f>
        <v>NBCM DENA SBR</v>
      </c>
      <c r="I219" s="11" t="s">
        <v>1185</v>
      </c>
      <c r="J219" s="11" t="s">
        <v>233</v>
      </c>
      <c r="K219" s="11" t="s">
        <v>261</v>
      </c>
      <c r="L219" s="11" t="s">
        <v>261</v>
      </c>
      <c r="M219" s="11" t="s">
        <v>261</v>
      </c>
      <c r="N219" s="11" t="s">
        <v>261</v>
      </c>
      <c r="O219" s="11" t="s">
        <v>261</v>
      </c>
      <c r="P219" s="11" t="s">
        <v>261</v>
      </c>
      <c r="Q219" s="11" t="s">
        <v>961</v>
      </c>
      <c r="R219" s="11" t="s">
        <v>261</v>
      </c>
      <c r="S219" s="11" t="s">
        <v>261</v>
      </c>
      <c r="T219" s="11" t="s">
        <v>552</v>
      </c>
      <c r="U219" s="11" t="s">
        <v>784</v>
      </c>
      <c r="V219" s="11">
        <v>2</v>
      </c>
      <c r="W219" s="11" t="s">
        <v>702</v>
      </c>
      <c r="X219" s="11" t="s">
        <v>261</v>
      </c>
      <c r="Y219" s="11" t="s">
        <v>261</v>
      </c>
      <c r="Z219" s="11" t="s">
        <v>261</v>
      </c>
      <c r="AA219" s="11" t="s">
        <v>583</v>
      </c>
      <c r="AB219" s="11" t="s">
        <v>261</v>
      </c>
      <c r="AC219" s="11" t="s">
        <v>261</v>
      </c>
      <c r="AD219" s="11" t="s">
        <v>1219</v>
      </c>
      <c r="AE219" s="12" t="s">
        <v>261</v>
      </c>
      <c r="AF219" s="11" t="s">
        <v>261</v>
      </c>
    </row>
    <row r="220" spans="1:32" ht="30" x14ac:dyDescent="0.25">
      <c r="A220" s="11">
        <v>1</v>
      </c>
      <c r="B220" s="11">
        <v>225058</v>
      </c>
      <c r="C220" s="11" t="s">
        <v>1225</v>
      </c>
      <c r="D220" s="11" t="str">
        <f>MID(Table22[[#This Row],[تاريخ تاييد]],1,7)</f>
        <v>1404/10</v>
      </c>
      <c r="E220" s="11" t="str">
        <f>MID(Table22[[#This Row],[تاريخ تاييد]],6,2)</f>
        <v>10</v>
      </c>
      <c r="F220" s="11" t="str">
        <f>LEFT(Table22[[#This Row],[تاريخ تاييد]],4)</f>
        <v>1404</v>
      </c>
      <c r="G220" s="11" t="str">
        <f>VLOOKUP(Table22[[#This Row],[شماره فني]],Sheet7!A:C,3,0)</f>
        <v>NOD</v>
      </c>
      <c r="H220" s="11" t="str">
        <f>VLOOKUP(Table22[[#This Row],[شماره فني]],Sheet7!A:B,2,0)</f>
        <v>NBCM TARA SAL SBR</v>
      </c>
      <c r="I220" s="11" t="s">
        <v>1042</v>
      </c>
      <c r="J220" s="11" t="s">
        <v>334</v>
      </c>
      <c r="K220" s="11" t="s">
        <v>22</v>
      </c>
      <c r="L220" s="11" t="s">
        <v>713</v>
      </c>
      <c r="M220" s="11" t="s">
        <v>261</v>
      </c>
      <c r="N220" s="11" t="s">
        <v>261</v>
      </c>
      <c r="O220" s="11" t="s">
        <v>261</v>
      </c>
      <c r="P220" s="11" t="s">
        <v>261</v>
      </c>
      <c r="Q220" s="11" t="s">
        <v>758</v>
      </c>
      <c r="R220" s="11" t="s">
        <v>759</v>
      </c>
      <c r="S220" s="11" t="s">
        <v>817</v>
      </c>
      <c r="T220" s="11" t="s">
        <v>813</v>
      </c>
      <c r="U220" s="11" t="s">
        <v>974</v>
      </c>
      <c r="V220" s="11">
        <v>1</v>
      </c>
      <c r="W220" s="11" t="s">
        <v>1002</v>
      </c>
      <c r="X220" s="11" t="s">
        <v>261</v>
      </c>
      <c r="Y220" s="11" t="s">
        <v>713</v>
      </c>
      <c r="Z220" s="11" t="s">
        <v>66</v>
      </c>
      <c r="AA220" s="11" t="s">
        <v>27</v>
      </c>
      <c r="AB220" s="11" t="s">
        <v>987</v>
      </c>
      <c r="AC220" s="11" t="s">
        <v>261</v>
      </c>
      <c r="AD220" s="11" t="s">
        <v>1219</v>
      </c>
      <c r="AE220" s="12" t="s">
        <v>963</v>
      </c>
      <c r="AF220" s="11" t="s">
        <v>261</v>
      </c>
    </row>
    <row r="221" spans="1:32" ht="45" x14ac:dyDescent="0.25">
      <c r="A221" s="11">
        <v>1</v>
      </c>
      <c r="B221" s="11">
        <v>225282</v>
      </c>
      <c r="C221" s="11" t="s">
        <v>1227</v>
      </c>
      <c r="D221" s="11" t="str">
        <f>MID(Table22[[#This Row],[تاريخ تاييد]],1,7)</f>
        <v>1404/10</v>
      </c>
      <c r="E221" s="11" t="str">
        <f>MID(Table22[[#This Row],[تاريخ تاييد]],6,2)</f>
        <v>10</v>
      </c>
      <c r="F221" s="11" t="str">
        <f>LEFT(Table22[[#This Row],[تاريخ تاييد]],4)</f>
        <v>1404</v>
      </c>
      <c r="G221" s="11" t="str">
        <f>VLOOKUP(Table22[[#This Row],[شماره فني]],Sheet7!A:C,3,0)</f>
        <v>MFD</v>
      </c>
      <c r="H221" s="11" t="str">
        <f>VLOOKUP(Table22[[#This Row],[شماره فني]],Sheet7!A:B,2,0)</f>
        <v>MFD RUNNA</v>
      </c>
      <c r="I221" s="11" t="s">
        <v>1186</v>
      </c>
      <c r="J221" s="11" t="s">
        <v>334</v>
      </c>
      <c r="K221" s="11" t="s">
        <v>261</v>
      </c>
      <c r="L221" s="11" t="s">
        <v>261</v>
      </c>
      <c r="M221" s="11" t="s">
        <v>261</v>
      </c>
      <c r="N221" s="11" t="s">
        <v>261</v>
      </c>
      <c r="O221" s="11" t="s">
        <v>261</v>
      </c>
      <c r="P221" s="11" t="s">
        <v>261</v>
      </c>
      <c r="Q221" s="11" t="s">
        <v>961</v>
      </c>
      <c r="R221" s="11" t="s">
        <v>261</v>
      </c>
      <c r="S221" s="11" t="s">
        <v>261</v>
      </c>
      <c r="T221" s="11" t="s">
        <v>552</v>
      </c>
      <c r="U221" s="11" t="s">
        <v>784</v>
      </c>
      <c r="V221" s="11">
        <v>1</v>
      </c>
      <c r="W221" s="11" t="s">
        <v>121</v>
      </c>
      <c r="X221" s="11" t="s">
        <v>261</v>
      </c>
      <c r="Y221" s="11" t="s">
        <v>261</v>
      </c>
      <c r="Z221" s="11" t="s">
        <v>261</v>
      </c>
      <c r="AA221" s="11" t="s">
        <v>583</v>
      </c>
      <c r="AB221" s="11" t="s">
        <v>261</v>
      </c>
      <c r="AC221" s="11" t="s">
        <v>261</v>
      </c>
      <c r="AD221" s="11" t="s">
        <v>1219</v>
      </c>
      <c r="AE221" s="12" t="s">
        <v>261</v>
      </c>
      <c r="AF221" s="11" t="s">
        <v>261</v>
      </c>
    </row>
    <row r="222" spans="1:32" ht="45" x14ac:dyDescent="0.25">
      <c r="A222" s="11">
        <v>1</v>
      </c>
      <c r="B222" s="11">
        <v>225455</v>
      </c>
      <c r="C222" s="11" t="s">
        <v>1226</v>
      </c>
      <c r="D222" s="11" t="str">
        <f>MID(Table22[[#This Row],[تاريخ تاييد]],1,7)</f>
        <v>1404/10</v>
      </c>
      <c r="E222" s="11" t="str">
        <f>MID(Table22[[#This Row],[تاريخ تاييد]],6,2)</f>
        <v>10</v>
      </c>
      <c r="F222" s="11" t="str">
        <f>LEFT(Table22[[#This Row],[تاريخ تاييد]],4)</f>
        <v>1404</v>
      </c>
      <c r="G222" s="11" t="str">
        <f>VLOOKUP(Table22[[#This Row],[شماره فني]],Sheet7!A:C,3,0)</f>
        <v>جلو آمپر</v>
      </c>
      <c r="H222" s="11" t="str">
        <f>VLOOKUP(Table22[[#This Row],[شماره فني]],Sheet7!A:B,2,0)</f>
        <v xml:space="preserve">جلو آمپر207  معمولی85 گانه SBR </v>
      </c>
      <c r="I222" s="11" t="s">
        <v>1187</v>
      </c>
      <c r="J222" s="11" t="s">
        <v>335</v>
      </c>
      <c r="K222" s="11" t="s">
        <v>23</v>
      </c>
      <c r="L222" s="11" t="s">
        <v>713</v>
      </c>
      <c r="M222" s="11" t="s">
        <v>261</v>
      </c>
      <c r="N222" s="11" t="s">
        <v>261</v>
      </c>
      <c r="O222" s="11" t="s">
        <v>261</v>
      </c>
      <c r="P222" s="11" t="s">
        <v>261</v>
      </c>
      <c r="Q222" s="11" t="s">
        <v>261</v>
      </c>
      <c r="R222" s="11" t="s">
        <v>261</v>
      </c>
      <c r="S222" s="11" t="s">
        <v>801</v>
      </c>
      <c r="T222" s="11" t="s">
        <v>797</v>
      </c>
      <c r="U222" s="11" t="s">
        <v>561</v>
      </c>
      <c r="V222" s="11">
        <v>3</v>
      </c>
      <c r="W222" s="11" t="s">
        <v>1027</v>
      </c>
      <c r="X222" s="11" t="s">
        <v>261</v>
      </c>
      <c r="Y222" s="11" t="s">
        <v>713</v>
      </c>
      <c r="Z222" s="11" t="s">
        <v>66</v>
      </c>
      <c r="AA222" s="11" t="s">
        <v>583</v>
      </c>
      <c r="AB222" s="11" t="s">
        <v>261</v>
      </c>
      <c r="AC222" s="11" t="s">
        <v>261</v>
      </c>
      <c r="AD222" s="11" t="s">
        <v>1219</v>
      </c>
      <c r="AE222" s="12" t="s">
        <v>261</v>
      </c>
      <c r="AF222" s="11" t="s">
        <v>261</v>
      </c>
    </row>
    <row r="223" spans="1:32" ht="30" x14ac:dyDescent="0.25">
      <c r="A223" s="11">
        <v>1</v>
      </c>
      <c r="B223" s="11">
        <v>225456</v>
      </c>
      <c r="C223" s="11" t="s">
        <v>1226</v>
      </c>
      <c r="D223" s="11" t="str">
        <f>MID(Table22[[#This Row],[تاريخ تاييد]],1,7)</f>
        <v>1404/10</v>
      </c>
      <c r="E223" s="11" t="str">
        <f>MID(Table22[[#This Row],[تاريخ تاييد]],6,2)</f>
        <v>10</v>
      </c>
      <c r="F223" s="11" t="str">
        <f>LEFT(Table22[[#This Row],[تاريخ تاييد]],4)</f>
        <v>1404</v>
      </c>
      <c r="G223" s="11" t="str">
        <f>VLOOKUP(Table22[[#This Row],[شماره فني]],Sheet7!A:C,3,0)</f>
        <v>جلو آمپر</v>
      </c>
      <c r="H223" s="11" t="str">
        <f>VLOOKUP(Table22[[#This Row],[شماره فني]],Sheet7!A:B,2,0)</f>
        <v>جلو آمپر207 اتوماتیک85 گانه SBR</v>
      </c>
      <c r="I223" s="11" t="s">
        <v>1188</v>
      </c>
      <c r="J223" s="11" t="s">
        <v>231</v>
      </c>
      <c r="K223" s="11" t="s">
        <v>22</v>
      </c>
      <c r="L223" s="11" t="s">
        <v>713</v>
      </c>
      <c r="M223" s="11" t="s">
        <v>261</v>
      </c>
      <c r="N223" s="11" t="s">
        <v>261</v>
      </c>
      <c r="O223" s="11" t="s">
        <v>261</v>
      </c>
      <c r="P223" s="11" t="s">
        <v>261</v>
      </c>
      <c r="Q223" s="11" t="s">
        <v>754</v>
      </c>
      <c r="R223" s="11" t="s">
        <v>261</v>
      </c>
      <c r="S223" s="11" t="s">
        <v>231</v>
      </c>
      <c r="T223" s="11" t="s">
        <v>797</v>
      </c>
      <c r="U223" s="11" t="s">
        <v>561</v>
      </c>
      <c r="V223" s="11">
        <v>3</v>
      </c>
      <c r="W223" s="11" t="s">
        <v>1144</v>
      </c>
      <c r="X223" s="11" t="s">
        <v>261</v>
      </c>
      <c r="Y223" s="11" t="s">
        <v>713</v>
      </c>
      <c r="Z223" s="11" t="s">
        <v>66</v>
      </c>
      <c r="AA223" s="11" t="s">
        <v>28</v>
      </c>
      <c r="AB223" s="11" t="s">
        <v>261</v>
      </c>
      <c r="AC223" s="11" t="s">
        <v>261</v>
      </c>
      <c r="AD223" s="11" t="s">
        <v>1219</v>
      </c>
      <c r="AE223" s="12" t="s">
        <v>261</v>
      </c>
      <c r="AF223" s="11" t="s">
        <v>261</v>
      </c>
    </row>
    <row r="224" spans="1:32" ht="30" x14ac:dyDescent="0.25">
      <c r="A224" s="11">
        <v>1</v>
      </c>
      <c r="B224" s="11">
        <v>222449</v>
      </c>
      <c r="C224" s="11" t="s">
        <v>1228</v>
      </c>
      <c r="D224" s="11" t="str">
        <f>MID(Table22[[#This Row],[تاريخ تاييد]],1,7)</f>
        <v>1404/10</v>
      </c>
      <c r="E224" s="11" t="str">
        <f>MID(Table22[[#This Row],[تاريخ تاييد]],6,2)</f>
        <v>10</v>
      </c>
      <c r="F224" s="11" t="str">
        <f>LEFT(Table22[[#This Row],[تاريخ تاييد]],4)</f>
        <v>1404</v>
      </c>
      <c r="G224" s="11" t="str">
        <f>VLOOKUP(Table22[[#This Row],[شماره فني]],Sheet7!A:C,3,0)</f>
        <v>جلو آمپر</v>
      </c>
      <c r="H224" s="11" t="str">
        <f>VLOOKUP(Table22[[#This Row],[شماره فني]],Sheet7!A:B,2,0)</f>
        <v>جلو آمپر دنا اتوماتیک SBR</v>
      </c>
      <c r="I224" s="11" t="s">
        <v>1189</v>
      </c>
      <c r="J224" s="11" t="s">
        <v>724</v>
      </c>
      <c r="K224" s="11" t="s">
        <v>22</v>
      </c>
      <c r="L224" s="11" t="s">
        <v>713</v>
      </c>
      <c r="M224" s="11" t="s">
        <v>261</v>
      </c>
      <c r="N224" s="11" t="s">
        <v>261</v>
      </c>
      <c r="O224" s="11" t="s">
        <v>261</v>
      </c>
      <c r="P224" s="11" t="s">
        <v>261</v>
      </c>
      <c r="Q224" s="11" t="s">
        <v>1000</v>
      </c>
      <c r="R224" s="11" t="s">
        <v>1001</v>
      </c>
      <c r="S224" s="11" t="s">
        <v>819</v>
      </c>
      <c r="T224" s="11" t="s">
        <v>824</v>
      </c>
      <c r="U224" s="11" t="s">
        <v>756</v>
      </c>
      <c r="V224" s="11">
        <v>2</v>
      </c>
      <c r="W224" s="11" t="s">
        <v>843</v>
      </c>
      <c r="X224" s="11" t="s">
        <v>261</v>
      </c>
      <c r="Y224" s="11" t="s">
        <v>713</v>
      </c>
      <c r="Z224" s="11" t="s">
        <v>66</v>
      </c>
      <c r="AA224" s="11" t="s">
        <v>26</v>
      </c>
      <c r="AB224" s="11" t="s">
        <v>261</v>
      </c>
      <c r="AC224" s="11" t="s">
        <v>757</v>
      </c>
      <c r="AD224" s="11" t="s">
        <v>1219</v>
      </c>
      <c r="AE224" s="12" t="s">
        <v>966</v>
      </c>
      <c r="AF224" s="11" t="s">
        <v>261</v>
      </c>
    </row>
    <row r="225" spans="1:32" ht="45" x14ac:dyDescent="0.25">
      <c r="A225" s="11">
        <v>1</v>
      </c>
      <c r="B225" s="11">
        <v>223235</v>
      </c>
      <c r="C225" s="11" t="s">
        <v>1228</v>
      </c>
      <c r="D225" s="11" t="str">
        <f>MID(Table22[[#This Row],[تاريخ تاييد]],1,7)</f>
        <v>1404/10</v>
      </c>
      <c r="E225" s="11" t="str">
        <f>MID(Table22[[#This Row],[تاريخ تاييد]],6,2)</f>
        <v>10</v>
      </c>
      <c r="F225" s="11" t="str">
        <f>LEFT(Table22[[#This Row],[تاريخ تاييد]],4)</f>
        <v>1404</v>
      </c>
      <c r="G225" s="11" t="str">
        <f>VLOOKUP(Table22[[#This Row],[شماره فني]],Sheet7!A:C,3,0)</f>
        <v>جلو آمپر</v>
      </c>
      <c r="H225" s="11" t="str">
        <f>VLOOKUP(Table22[[#This Row],[شماره فني]],Sheet7!A:B,2,0)</f>
        <v>جلو آمپر تارا اتوماتیک SBR</v>
      </c>
      <c r="I225" s="11" t="s">
        <v>1190</v>
      </c>
      <c r="J225" s="11" t="s">
        <v>723</v>
      </c>
      <c r="K225" s="11" t="s">
        <v>261</v>
      </c>
      <c r="L225" s="11" t="s">
        <v>261</v>
      </c>
      <c r="M225" s="11" t="s">
        <v>261</v>
      </c>
      <c r="N225" s="11" t="s">
        <v>261</v>
      </c>
      <c r="O225" s="11" t="s">
        <v>261</v>
      </c>
      <c r="P225" s="11" t="s">
        <v>261</v>
      </c>
      <c r="Q225" s="11" t="s">
        <v>961</v>
      </c>
      <c r="R225" s="11" t="s">
        <v>261</v>
      </c>
      <c r="S225" s="11" t="s">
        <v>261</v>
      </c>
      <c r="T225" s="11" t="s">
        <v>552</v>
      </c>
      <c r="U225" s="11" t="s">
        <v>784</v>
      </c>
      <c r="V225" s="11">
        <v>1</v>
      </c>
      <c r="W225" s="11" t="s">
        <v>1037</v>
      </c>
      <c r="X225" s="11" t="s">
        <v>261</v>
      </c>
      <c r="Y225" s="11" t="s">
        <v>261</v>
      </c>
      <c r="Z225" s="11" t="s">
        <v>261</v>
      </c>
      <c r="AA225" s="11" t="s">
        <v>583</v>
      </c>
      <c r="AB225" s="11" t="s">
        <v>261</v>
      </c>
      <c r="AC225" s="11" t="s">
        <v>261</v>
      </c>
      <c r="AD225" s="11" t="s">
        <v>1219</v>
      </c>
      <c r="AE225" s="12" t="s">
        <v>261</v>
      </c>
      <c r="AF225" s="11" t="s">
        <v>261</v>
      </c>
    </row>
    <row r="226" spans="1:32" ht="30" x14ac:dyDescent="0.25">
      <c r="A226" s="11">
        <v>1</v>
      </c>
      <c r="B226" s="11">
        <v>222887</v>
      </c>
      <c r="C226" s="11" t="s">
        <v>1228</v>
      </c>
      <c r="D226" s="11" t="str">
        <f>MID(Table22[[#This Row],[تاريخ تاييد]],1,7)</f>
        <v>1404/10</v>
      </c>
      <c r="E226" s="11" t="str">
        <f>MID(Table22[[#This Row],[تاريخ تاييد]],6,2)</f>
        <v>10</v>
      </c>
      <c r="F226" s="11" t="str">
        <f>LEFT(Table22[[#This Row],[تاريخ تاييد]],4)</f>
        <v>1404</v>
      </c>
      <c r="G226" s="11" t="str">
        <f>VLOOKUP(Table22[[#This Row],[شماره فني]],Sheet7!A:C,3,0)</f>
        <v>جلو آمپر</v>
      </c>
      <c r="H226" s="11" t="str">
        <f>VLOOKUP(Table22[[#This Row],[شماره فني]],Sheet7!A:B,2,0)</f>
        <v>جلو آمپر تارا دستی SBR</v>
      </c>
      <c r="I226" s="11" t="s">
        <v>1191</v>
      </c>
      <c r="J226" s="11" t="s">
        <v>723</v>
      </c>
      <c r="K226" s="11" t="s">
        <v>261</v>
      </c>
      <c r="L226" s="11" t="s">
        <v>261</v>
      </c>
      <c r="M226" s="11" t="s">
        <v>261</v>
      </c>
      <c r="N226" s="11" t="s">
        <v>261</v>
      </c>
      <c r="O226" s="11" t="s">
        <v>261</v>
      </c>
      <c r="P226" s="11" t="s">
        <v>261</v>
      </c>
      <c r="Q226" s="11" t="s">
        <v>261</v>
      </c>
      <c r="R226" s="11" t="s">
        <v>261</v>
      </c>
      <c r="S226" s="11" t="s">
        <v>840</v>
      </c>
      <c r="T226" s="11" t="s">
        <v>257</v>
      </c>
      <c r="U226" s="11" t="s">
        <v>561</v>
      </c>
      <c r="V226" s="11">
        <v>1</v>
      </c>
      <c r="W226" s="11" t="s">
        <v>1005</v>
      </c>
      <c r="X226" s="11" t="s">
        <v>261</v>
      </c>
      <c r="Y226" s="11" t="s">
        <v>261</v>
      </c>
      <c r="Z226" s="11" t="s">
        <v>261</v>
      </c>
      <c r="AA226" s="11" t="s">
        <v>28</v>
      </c>
      <c r="AB226" s="11" t="s">
        <v>261</v>
      </c>
      <c r="AC226" s="11" t="s">
        <v>261</v>
      </c>
      <c r="AD226" s="11" t="s">
        <v>1219</v>
      </c>
      <c r="AE226" s="12" t="s">
        <v>261</v>
      </c>
      <c r="AF226" s="11" t="s">
        <v>261</v>
      </c>
    </row>
    <row r="227" spans="1:32" ht="90" x14ac:dyDescent="0.25">
      <c r="A227" s="11">
        <v>1</v>
      </c>
      <c r="B227" s="11">
        <v>224415</v>
      </c>
      <c r="C227" s="11" t="s">
        <v>1229</v>
      </c>
      <c r="D227" s="11" t="str">
        <f>MID(Table22[[#This Row],[تاريخ تاييد]],1,7)</f>
        <v>1404/10</v>
      </c>
      <c r="E227" s="11" t="str">
        <f>MID(Table22[[#This Row],[تاريخ تاييد]],6,2)</f>
        <v>10</v>
      </c>
      <c r="F227" s="11" t="str">
        <f>LEFT(Table22[[#This Row],[تاريخ تاييد]],4)</f>
        <v>1404</v>
      </c>
      <c r="G227" s="11" t="str">
        <f>VLOOKUP(Table22[[#This Row],[شماره فني]],Sheet7!A:C,3,0)</f>
        <v>NOD</v>
      </c>
      <c r="H227" s="11" t="str">
        <f>VLOOKUP(Table22[[#This Row],[شماره فني]],Sheet7!A:B,2,0)</f>
        <v>SBM 207 SBR</v>
      </c>
      <c r="I227" s="11" t="s">
        <v>1192</v>
      </c>
      <c r="J227" s="11" t="s">
        <v>334</v>
      </c>
      <c r="K227" s="11" t="s">
        <v>23</v>
      </c>
      <c r="L227" s="11" t="s">
        <v>853</v>
      </c>
      <c r="M227" s="11" t="s">
        <v>23</v>
      </c>
      <c r="N227" s="11" t="s">
        <v>854</v>
      </c>
      <c r="O227" s="11" t="s">
        <v>261</v>
      </c>
      <c r="P227" s="11" t="s">
        <v>261</v>
      </c>
      <c r="Q227" s="11" t="s">
        <v>855</v>
      </c>
      <c r="R227" s="11" t="s">
        <v>967</v>
      </c>
      <c r="S227" s="11" t="s">
        <v>855</v>
      </c>
      <c r="T227" s="11" t="s">
        <v>856</v>
      </c>
      <c r="U227" s="11" t="s">
        <v>857</v>
      </c>
      <c r="V227" s="11">
        <v>1</v>
      </c>
      <c r="W227" s="11" t="s">
        <v>1070</v>
      </c>
      <c r="X227" s="11" t="s">
        <v>261</v>
      </c>
      <c r="Y227" s="11" t="s">
        <v>853</v>
      </c>
      <c r="Z227" s="11" t="s">
        <v>66</v>
      </c>
      <c r="AA227" s="11" t="s">
        <v>583</v>
      </c>
      <c r="AB227" s="11" t="s">
        <v>261</v>
      </c>
      <c r="AC227" s="11" t="s">
        <v>261</v>
      </c>
      <c r="AD227" s="11" t="s">
        <v>1219</v>
      </c>
      <c r="AE227" s="12" t="s">
        <v>967</v>
      </c>
      <c r="AF227" s="11" t="s">
        <v>261</v>
      </c>
    </row>
    <row r="228" spans="1:32" ht="30" x14ac:dyDescent="0.25">
      <c r="A228" s="11">
        <v>1</v>
      </c>
      <c r="B228" s="11">
        <v>224878</v>
      </c>
      <c r="C228" s="11" t="s">
        <v>1225</v>
      </c>
      <c r="D228" s="11" t="str">
        <f>MID(Table22[[#This Row],[تاريخ تاييد]],1,7)</f>
        <v>1404/10</v>
      </c>
      <c r="E228" s="11" t="str">
        <f>MID(Table22[[#This Row],[تاريخ تاييد]],6,2)</f>
        <v>10</v>
      </c>
      <c r="F228" s="11" t="str">
        <f>LEFT(Table22[[#This Row],[تاريخ تاييد]],4)</f>
        <v>1404</v>
      </c>
      <c r="G228" s="11" t="str">
        <f>VLOOKUP(Table22[[#This Row],[شماره فني]],Sheet7!A:C,3,0)</f>
        <v>NOD</v>
      </c>
      <c r="H228" s="11" t="str">
        <f>VLOOKUP(Table22[[#This Row],[شماره فني]],Sheet7!A:B,2,0)</f>
        <v>SBM 207 SBR</v>
      </c>
      <c r="I228" s="11" t="s">
        <v>1193</v>
      </c>
      <c r="J228" s="11" t="s">
        <v>334</v>
      </c>
      <c r="K228" s="11" t="s">
        <v>23</v>
      </c>
      <c r="L228" s="11" t="s">
        <v>877</v>
      </c>
      <c r="M228" s="11" t="s">
        <v>261</v>
      </c>
      <c r="N228" s="11" t="s">
        <v>261</v>
      </c>
      <c r="O228" s="11" t="s">
        <v>261</v>
      </c>
      <c r="P228" s="11" t="s">
        <v>261</v>
      </c>
      <c r="Q228" s="11" t="s">
        <v>953</v>
      </c>
      <c r="R228" s="11" t="s">
        <v>954</v>
      </c>
      <c r="S228" s="11" t="s">
        <v>818</v>
      </c>
      <c r="T228" s="11" t="s">
        <v>824</v>
      </c>
      <c r="U228" s="11" t="s">
        <v>968</v>
      </c>
      <c r="V228" s="11">
        <v>1</v>
      </c>
      <c r="W228" s="11" t="s">
        <v>1070</v>
      </c>
      <c r="X228" s="11" t="s">
        <v>261</v>
      </c>
      <c r="Y228" s="11" t="s">
        <v>877</v>
      </c>
      <c r="Z228" s="11" t="s">
        <v>66</v>
      </c>
      <c r="AA228" s="11" t="s">
        <v>583</v>
      </c>
      <c r="AB228" s="11" t="s">
        <v>261</v>
      </c>
      <c r="AC228" s="11" t="s">
        <v>261</v>
      </c>
      <c r="AD228" s="11" t="s">
        <v>1219</v>
      </c>
      <c r="AE228" s="12" t="s">
        <v>969</v>
      </c>
      <c r="AF228" s="11" t="s">
        <v>261</v>
      </c>
    </row>
    <row r="229" spans="1:32" ht="30" x14ac:dyDescent="0.25">
      <c r="A229" s="11">
        <v>1</v>
      </c>
      <c r="B229" s="11">
        <v>222892</v>
      </c>
      <c r="C229" s="11" t="s">
        <v>1122</v>
      </c>
      <c r="D229" s="11" t="str">
        <f>MID(Table22[[#This Row],[تاريخ تاييد]],1,7)</f>
        <v>1404/08</v>
      </c>
      <c r="E229" s="11" t="str">
        <f>MID(Table22[[#This Row],[تاريخ تاييد]],6,2)</f>
        <v>08</v>
      </c>
      <c r="F229" s="11" t="str">
        <f>LEFT(Table22[[#This Row],[تاريخ تاييد]],4)</f>
        <v>1404</v>
      </c>
      <c r="G229" s="11" t="str">
        <f>VLOOKUP(Table22[[#This Row],[شماره فني]],Sheet7!A:C,3,0)</f>
        <v>NOD</v>
      </c>
      <c r="H229" s="11" t="str">
        <f>VLOOKUP(Table22[[#This Row],[شماره فني]],Sheet7!A:B,2,0)</f>
        <v>SBM SOREN SBR</v>
      </c>
      <c r="I229" s="11" t="s">
        <v>1133</v>
      </c>
      <c r="J229" s="11" t="s">
        <v>1121</v>
      </c>
      <c r="K229" s="11" t="s">
        <v>261</v>
      </c>
      <c r="L229" s="11" t="s">
        <v>261</v>
      </c>
      <c r="M229" s="11" t="s">
        <v>261</v>
      </c>
      <c r="N229" s="11" t="s">
        <v>261</v>
      </c>
      <c r="O229" s="11" t="s">
        <v>261</v>
      </c>
      <c r="P229" s="11" t="s">
        <v>261</v>
      </c>
      <c r="Q229" s="11" t="s">
        <v>68</v>
      </c>
      <c r="R229" s="11" t="s">
        <v>868</v>
      </c>
      <c r="S229" s="11" t="s">
        <v>985</v>
      </c>
      <c r="T229" s="11" t="s">
        <v>869</v>
      </c>
      <c r="U229" s="11" t="s">
        <v>962</v>
      </c>
      <c r="V229" s="11">
        <v>1</v>
      </c>
      <c r="W229" s="11" t="s">
        <v>1128</v>
      </c>
      <c r="X229" s="11" t="s">
        <v>261</v>
      </c>
      <c r="Y229" s="11" t="s">
        <v>261</v>
      </c>
      <c r="Z229" s="11" t="s">
        <v>261</v>
      </c>
      <c r="AA229" s="11" t="s">
        <v>26</v>
      </c>
      <c r="AB229" s="11" t="s">
        <v>261</v>
      </c>
      <c r="AC229" s="11" t="s">
        <v>226</v>
      </c>
      <c r="AD229" s="11" t="s">
        <v>1220</v>
      </c>
      <c r="AE229" s="12" t="s">
        <v>970</v>
      </c>
      <c r="AF229" s="11" t="s">
        <v>261</v>
      </c>
    </row>
    <row r="230" spans="1:32" ht="30" x14ac:dyDescent="0.25">
      <c r="A230" s="11">
        <v>1</v>
      </c>
      <c r="B230" s="11">
        <v>218978</v>
      </c>
      <c r="C230" s="11" t="s">
        <v>1021</v>
      </c>
      <c r="D230" s="11" t="str">
        <f>MID(Table22[[#This Row],[تاريخ تاييد]],1,7)</f>
        <v>1404/06</v>
      </c>
      <c r="E230" s="11" t="str">
        <f>MID(Table22[[#This Row],[تاريخ تاييد]],6,2)</f>
        <v>06</v>
      </c>
      <c r="F230" s="11" t="str">
        <f>LEFT(Table22[[#This Row],[تاريخ تاييد]],4)</f>
        <v>1404</v>
      </c>
      <c r="G230" s="11" t="str">
        <f>VLOOKUP(Table22[[#This Row],[شماره فني]],Sheet7!A:C,3,0)</f>
        <v>کلید شیشه بالابر</v>
      </c>
      <c r="H230" s="11" t="str">
        <f>VLOOKUP(Table22[[#This Row],[شماره فني]],Sheet7!A:B,2,0)</f>
        <v>کلید شیشه بالابر عقب چپ سورن</v>
      </c>
      <c r="I230" s="11" t="s">
        <v>1019</v>
      </c>
      <c r="J230" s="11" t="s">
        <v>232</v>
      </c>
      <c r="K230" s="11" t="s">
        <v>22</v>
      </c>
      <c r="L230" s="11" t="s">
        <v>853</v>
      </c>
      <c r="M230" s="11" t="s">
        <v>261</v>
      </c>
      <c r="N230" s="11" t="s">
        <v>261</v>
      </c>
      <c r="O230" s="11" t="s">
        <v>261</v>
      </c>
      <c r="P230" s="11" t="s">
        <v>261</v>
      </c>
      <c r="Q230" s="11" t="s">
        <v>783</v>
      </c>
      <c r="R230" s="11" t="s">
        <v>867</v>
      </c>
      <c r="S230" s="11" t="s">
        <v>822</v>
      </c>
      <c r="T230" s="11" t="s">
        <v>797</v>
      </c>
      <c r="U230" s="11" t="s">
        <v>561</v>
      </c>
      <c r="V230" s="11">
        <v>2</v>
      </c>
      <c r="W230" s="11" t="s">
        <v>287</v>
      </c>
      <c r="X230" s="11" t="s">
        <v>261</v>
      </c>
      <c r="Y230" s="11" t="s">
        <v>853</v>
      </c>
      <c r="Z230" s="11" t="s">
        <v>66</v>
      </c>
      <c r="AA230" s="11" t="s">
        <v>28</v>
      </c>
      <c r="AB230" s="11" t="s">
        <v>261</v>
      </c>
      <c r="AC230" s="11" t="s">
        <v>261</v>
      </c>
      <c r="AD230" s="11" t="s">
        <v>1220</v>
      </c>
      <c r="AE230" s="12" t="s">
        <v>261</v>
      </c>
      <c r="AF230" s="11" t="s">
        <v>261</v>
      </c>
    </row>
    <row r="231" spans="1:32" ht="45" x14ac:dyDescent="0.25">
      <c r="A231" s="11">
        <v>1</v>
      </c>
      <c r="B231" s="11">
        <v>217182</v>
      </c>
      <c r="C231" s="11" t="s">
        <v>941</v>
      </c>
      <c r="D231" s="11" t="str">
        <f>MID(Table22[[#This Row],[تاريخ تاييد]],1,7)</f>
        <v>1404/05</v>
      </c>
      <c r="E231" s="11" t="str">
        <f>MID(Table22[[#This Row],[تاريخ تاييد]],6,2)</f>
        <v>05</v>
      </c>
      <c r="F231" s="11" t="str">
        <f>LEFT(Table22[[#This Row],[تاريخ تاييد]],4)</f>
        <v>1404</v>
      </c>
      <c r="G231" s="11" t="str">
        <f>VLOOKUP(Table22[[#This Row],[شماره فني]],Sheet7!A:C,3,0)</f>
        <v>کلید شیشه بالابر</v>
      </c>
      <c r="H231" s="11" t="str">
        <f>VLOOKUP(Table22[[#This Row],[شماره فني]],Sheet7!A:B,2,0)</f>
        <v>کلید شیشه بالابر عقب راست سورن</v>
      </c>
      <c r="I231" s="11" t="s">
        <v>946</v>
      </c>
      <c r="J231" s="11" t="s">
        <v>851</v>
      </c>
      <c r="K231" s="11" t="s">
        <v>261</v>
      </c>
      <c r="L231" s="11" t="s">
        <v>261</v>
      </c>
      <c r="M231" s="11" t="s">
        <v>261</v>
      </c>
      <c r="N231" s="11" t="s">
        <v>261</v>
      </c>
      <c r="O231" s="11" t="s">
        <v>261</v>
      </c>
      <c r="P231" s="11" t="s">
        <v>261</v>
      </c>
      <c r="Q231" s="11" t="s">
        <v>961</v>
      </c>
      <c r="R231" s="11" t="s">
        <v>261</v>
      </c>
      <c r="S231" s="11" t="s">
        <v>261</v>
      </c>
      <c r="T231" s="11" t="s">
        <v>552</v>
      </c>
      <c r="U231" s="11" t="s">
        <v>784</v>
      </c>
      <c r="V231" s="11">
        <v>1</v>
      </c>
      <c r="W231" s="11" t="s">
        <v>388</v>
      </c>
      <c r="X231" s="11" t="s">
        <v>261</v>
      </c>
      <c r="Y231" s="11" t="s">
        <v>261</v>
      </c>
      <c r="Z231" s="11" t="s">
        <v>261</v>
      </c>
      <c r="AA231" s="11" t="s">
        <v>583</v>
      </c>
      <c r="AB231" s="11" t="s">
        <v>261</v>
      </c>
      <c r="AC231" s="11" t="s">
        <v>261</v>
      </c>
      <c r="AD231" s="11" t="s">
        <v>1220</v>
      </c>
      <c r="AE231" s="12" t="s">
        <v>965</v>
      </c>
      <c r="AF231" s="11" t="s">
        <v>261</v>
      </c>
    </row>
    <row r="232" spans="1:32" ht="30" x14ac:dyDescent="0.25">
      <c r="A232" s="11">
        <v>1</v>
      </c>
      <c r="B232" s="11">
        <v>223400</v>
      </c>
      <c r="C232" s="11" t="s">
        <v>1142</v>
      </c>
      <c r="D232" s="11" t="str">
        <f>MID(Table22[[#This Row],[تاريخ تاييد]],1,7)</f>
        <v>1404/09</v>
      </c>
      <c r="E232" s="11" t="str">
        <f>MID(Table22[[#This Row],[تاريخ تاييد]],6,2)</f>
        <v>09</v>
      </c>
      <c r="F232" s="11" t="str">
        <f>LEFT(Table22[[#This Row],[تاريخ تاييد]],4)</f>
        <v>1404</v>
      </c>
      <c r="G232" s="11" t="str">
        <f>VLOOKUP(Table22[[#This Row],[شماره فني]],Sheet7!A:C,3,0)</f>
        <v>جلو آمپر</v>
      </c>
      <c r="H232" s="11" t="str">
        <f>VLOOKUP(Table22[[#This Row],[شماره فني]],Sheet7!A:B,2,0)</f>
        <v>جلو آمپر207 اتوماتیک85 گانه SBR</v>
      </c>
      <c r="I232" s="11" t="s">
        <v>1149</v>
      </c>
      <c r="J232" s="11" t="s">
        <v>852</v>
      </c>
      <c r="K232" s="11" t="s">
        <v>22</v>
      </c>
      <c r="L232" s="11" t="s">
        <v>878</v>
      </c>
      <c r="M232" s="11" t="s">
        <v>261</v>
      </c>
      <c r="N232" s="11" t="s">
        <v>261</v>
      </c>
      <c r="O232" s="11" t="s">
        <v>261</v>
      </c>
      <c r="P232" s="11" t="s">
        <v>261</v>
      </c>
      <c r="Q232" s="11" t="s">
        <v>971</v>
      </c>
      <c r="R232" s="11" t="s">
        <v>971</v>
      </c>
      <c r="S232" s="11" t="s">
        <v>261</v>
      </c>
      <c r="T232" s="11" t="s">
        <v>971</v>
      </c>
      <c r="U232" s="11" t="s">
        <v>971</v>
      </c>
      <c r="V232" s="11">
        <v>1</v>
      </c>
      <c r="W232" s="11" t="s">
        <v>1144</v>
      </c>
      <c r="X232" s="11" t="s">
        <v>261</v>
      </c>
      <c r="Y232" s="11" t="s">
        <v>878</v>
      </c>
      <c r="Z232" s="11" t="s">
        <v>66</v>
      </c>
      <c r="AA232" s="11" t="s">
        <v>998</v>
      </c>
      <c r="AB232" s="11" t="s">
        <v>261</v>
      </c>
      <c r="AC232" s="11" t="s">
        <v>261</v>
      </c>
      <c r="AD232" s="11" t="s">
        <v>1220</v>
      </c>
      <c r="AE232" s="12" t="s">
        <v>972</v>
      </c>
      <c r="AF232" s="11" t="s">
        <v>261</v>
      </c>
    </row>
    <row r="233" spans="1:32" ht="45" x14ac:dyDescent="0.25">
      <c r="A233" s="11">
        <v>1</v>
      </c>
      <c r="B233" s="11">
        <v>224619</v>
      </c>
      <c r="C233" s="11" t="s">
        <v>1180</v>
      </c>
      <c r="D233" s="11" t="str">
        <f>MID(Table22[[#This Row],[تاريخ تاييد]],1,7)</f>
        <v>1404/09</v>
      </c>
      <c r="E233" s="11" t="str">
        <f>MID(Table22[[#This Row],[تاريخ تاييد]],6,2)</f>
        <v>09</v>
      </c>
      <c r="F233" s="11" t="str">
        <f>LEFT(Table22[[#This Row],[تاريخ تاييد]],4)</f>
        <v>1404</v>
      </c>
      <c r="G233" s="11" t="str">
        <f>VLOOKUP(Table22[[#This Row],[شماره فني]],Sheet7!A:C,3,0)</f>
        <v>جلو آمپر</v>
      </c>
      <c r="H233" s="11" t="str">
        <f>VLOOKUP(Table22[[#This Row],[شماره فني]],Sheet7!A:B,2,0)</f>
        <v xml:space="preserve">جلو آمپر207  معمولی85 گانه SBR </v>
      </c>
      <c r="I233" s="11" t="s">
        <v>1194</v>
      </c>
      <c r="J233" s="11" t="s">
        <v>865</v>
      </c>
      <c r="K233" s="11" t="s">
        <v>261</v>
      </c>
      <c r="L233" s="11" t="s">
        <v>261</v>
      </c>
      <c r="M233" s="11" t="s">
        <v>261</v>
      </c>
      <c r="N233" s="11" t="s">
        <v>261</v>
      </c>
      <c r="O233" s="11" t="s">
        <v>261</v>
      </c>
      <c r="P233" s="11" t="s">
        <v>261</v>
      </c>
      <c r="Q233" s="11" t="s">
        <v>961</v>
      </c>
      <c r="R233" s="11" t="s">
        <v>261</v>
      </c>
      <c r="S233" s="11" t="s">
        <v>261</v>
      </c>
      <c r="T233" s="11" t="s">
        <v>552</v>
      </c>
      <c r="U233" s="11" t="s">
        <v>784</v>
      </c>
      <c r="V233" s="11">
        <v>1</v>
      </c>
      <c r="W233" s="11" t="s">
        <v>1027</v>
      </c>
      <c r="X233" s="11" t="s">
        <v>261</v>
      </c>
      <c r="Y233" s="11" t="s">
        <v>261</v>
      </c>
      <c r="Z233" s="11" t="s">
        <v>261</v>
      </c>
      <c r="AA233" s="11" t="s">
        <v>583</v>
      </c>
      <c r="AB233" s="11" t="s">
        <v>261</v>
      </c>
      <c r="AC233" s="11" t="s">
        <v>261</v>
      </c>
      <c r="AD233" s="11" t="s">
        <v>1220</v>
      </c>
      <c r="AE233" s="12" t="s">
        <v>261</v>
      </c>
      <c r="AF233" s="11" t="s">
        <v>261</v>
      </c>
    </row>
    <row r="234" spans="1:32" ht="45" x14ac:dyDescent="0.25">
      <c r="A234" s="11">
        <v>1</v>
      </c>
      <c r="B234" s="11">
        <v>220974</v>
      </c>
      <c r="C234" s="11" t="s">
        <v>1066</v>
      </c>
      <c r="D234" s="11" t="str">
        <f>MID(Table22[[#This Row],[تاريخ تاييد]],1,7)</f>
        <v>1404/07</v>
      </c>
      <c r="E234" s="11" t="str">
        <f>MID(Table22[[#This Row],[تاريخ تاييد]],6,2)</f>
        <v>07</v>
      </c>
      <c r="F234" s="11" t="str">
        <f>LEFT(Table22[[#This Row],[تاريخ تاييد]],4)</f>
        <v>1404</v>
      </c>
      <c r="G234" s="11" t="str">
        <f>VLOOKUP(Table22[[#This Row],[شماره فني]],Sheet7!A:C,3,0)</f>
        <v>جلو آمپر</v>
      </c>
      <c r="H234" s="11" t="str">
        <f>VLOOKUP(Table22[[#This Row],[شماره فني]],Sheet7!A:B,2,0)</f>
        <v>جلو آمپر تارا اتوماتیک SBR</v>
      </c>
      <c r="I234" s="11" t="s">
        <v>1078</v>
      </c>
      <c r="J234" s="11" t="s">
        <v>851</v>
      </c>
      <c r="K234" s="11" t="s">
        <v>261</v>
      </c>
      <c r="L234" s="11" t="s">
        <v>261</v>
      </c>
      <c r="M234" s="11" t="s">
        <v>261</v>
      </c>
      <c r="N234" s="11" t="s">
        <v>261</v>
      </c>
      <c r="O234" s="11" t="s">
        <v>261</v>
      </c>
      <c r="P234" s="11" t="s">
        <v>261</v>
      </c>
      <c r="Q234" s="11" t="s">
        <v>961</v>
      </c>
      <c r="R234" s="11" t="s">
        <v>261</v>
      </c>
      <c r="S234" s="11" t="s">
        <v>261</v>
      </c>
      <c r="T234" s="11" t="s">
        <v>552</v>
      </c>
      <c r="U234" s="11" t="s">
        <v>784</v>
      </c>
      <c r="V234" s="11">
        <v>1</v>
      </c>
      <c r="W234" s="11" t="s">
        <v>1037</v>
      </c>
      <c r="X234" s="11" t="s">
        <v>261</v>
      </c>
      <c r="Y234" s="11" t="s">
        <v>261</v>
      </c>
      <c r="Z234" s="11" t="s">
        <v>261</v>
      </c>
      <c r="AA234" s="11" t="s">
        <v>583</v>
      </c>
      <c r="AB234" s="11" t="s">
        <v>261</v>
      </c>
      <c r="AC234" s="11" t="s">
        <v>261</v>
      </c>
      <c r="AD234" s="11" t="s">
        <v>1220</v>
      </c>
      <c r="AE234" s="12" t="s">
        <v>965</v>
      </c>
      <c r="AF234" s="11" t="s">
        <v>261</v>
      </c>
    </row>
    <row r="235" spans="1:32" ht="30" x14ac:dyDescent="0.25">
      <c r="A235" s="11">
        <v>1</v>
      </c>
      <c r="B235" s="11">
        <v>220857</v>
      </c>
      <c r="C235" s="11" t="s">
        <v>1065</v>
      </c>
      <c r="D235" s="11" t="str">
        <f>MID(Table22[[#This Row],[تاريخ تاييد]],1,7)</f>
        <v>1404/07</v>
      </c>
      <c r="E235" s="11" t="str">
        <f>MID(Table22[[#This Row],[تاريخ تاييد]],6,2)</f>
        <v>07</v>
      </c>
      <c r="F235" s="11" t="str">
        <f>LEFT(Table22[[#This Row],[تاريخ تاييد]],4)</f>
        <v>1404</v>
      </c>
      <c r="G235" s="11" t="str">
        <f>VLOOKUP(Table22[[#This Row],[شماره فني]],Sheet7!A:C,3,0)</f>
        <v>NOD</v>
      </c>
      <c r="H235" s="11" t="str">
        <f>VLOOKUP(Table22[[#This Row],[شماره فني]],Sheet7!A:B,2,0)</f>
        <v>SBM 207 SBR</v>
      </c>
      <c r="I235" s="11" t="s">
        <v>1076</v>
      </c>
      <c r="J235" s="11" t="s">
        <v>230</v>
      </c>
      <c r="K235" s="11" t="s">
        <v>22</v>
      </c>
      <c r="L235" s="11" t="s">
        <v>881</v>
      </c>
      <c r="M235" s="11" t="s">
        <v>261</v>
      </c>
      <c r="N235" s="11" t="s">
        <v>261</v>
      </c>
      <c r="O235" s="11" t="s">
        <v>261</v>
      </c>
      <c r="P235" s="11" t="s">
        <v>261</v>
      </c>
      <c r="Q235" s="11" t="s">
        <v>879</v>
      </c>
      <c r="R235" s="11" t="s">
        <v>880</v>
      </c>
      <c r="S235" s="11" t="s">
        <v>527</v>
      </c>
      <c r="T235" s="11" t="s">
        <v>879</v>
      </c>
      <c r="U235" s="11" t="s">
        <v>561</v>
      </c>
      <c r="V235" s="11">
        <v>17</v>
      </c>
      <c r="W235" s="11" t="s">
        <v>1070</v>
      </c>
      <c r="X235" s="11" t="s">
        <v>261</v>
      </c>
      <c r="Y235" s="11" t="s">
        <v>881</v>
      </c>
      <c r="Z235" s="11" t="s">
        <v>66</v>
      </c>
      <c r="AA235" s="11" t="s">
        <v>27</v>
      </c>
      <c r="AB235" s="11" t="s">
        <v>999</v>
      </c>
      <c r="AC235" s="11" t="s">
        <v>261</v>
      </c>
      <c r="AD235" s="11" t="s">
        <v>1220</v>
      </c>
      <c r="AE235" s="12" t="s">
        <v>973</v>
      </c>
      <c r="AF235" s="11" t="s">
        <v>261</v>
      </c>
    </row>
    <row r="236" spans="1:32" ht="45" x14ac:dyDescent="0.25">
      <c r="A236" s="11">
        <v>1</v>
      </c>
      <c r="B236" s="11">
        <v>221701</v>
      </c>
      <c r="C236" s="11" t="s">
        <v>1085</v>
      </c>
      <c r="D236" s="11" t="str">
        <f>MID(Table22[[#This Row],[تاريخ تاييد]],1,7)</f>
        <v>1404/08</v>
      </c>
      <c r="E236" s="11" t="str">
        <f>MID(Table22[[#This Row],[تاريخ تاييد]],6,2)</f>
        <v>08</v>
      </c>
      <c r="F236" s="11" t="str">
        <f>LEFT(Table22[[#This Row],[تاريخ تاييد]],4)</f>
        <v>1404</v>
      </c>
      <c r="G236" s="11" t="str">
        <f>VLOOKUP(Table22[[#This Row],[شماره فني]],Sheet7!A:C,3,0)</f>
        <v>NOD</v>
      </c>
      <c r="H236" s="11" t="str">
        <f>VLOOKUP(Table22[[#This Row],[شماره فني]],Sheet7!A:B,2,0)</f>
        <v>SBM 207 SBR</v>
      </c>
      <c r="I236" s="11" t="s">
        <v>1090</v>
      </c>
      <c r="J236" s="11" t="s">
        <v>231</v>
      </c>
      <c r="K236" s="11" t="s">
        <v>261</v>
      </c>
      <c r="L236" s="11" t="s">
        <v>261</v>
      </c>
      <c r="M236" s="11" t="s">
        <v>261</v>
      </c>
      <c r="N236" s="11" t="s">
        <v>261</v>
      </c>
      <c r="O236" s="11" t="s">
        <v>261</v>
      </c>
      <c r="P236" s="11" t="s">
        <v>261</v>
      </c>
      <c r="Q236" s="11" t="s">
        <v>961</v>
      </c>
      <c r="R236" s="11" t="s">
        <v>261</v>
      </c>
      <c r="S236" s="11" t="s">
        <v>261</v>
      </c>
      <c r="T236" s="11" t="s">
        <v>552</v>
      </c>
      <c r="U236" s="11" t="s">
        <v>784</v>
      </c>
      <c r="V236" s="11">
        <v>1</v>
      </c>
      <c r="W236" s="11" t="s">
        <v>1070</v>
      </c>
      <c r="X236" s="11" t="s">
        <v>261</v>
      </c>
      <c r="Y236" s="11" t="s">
        <v>261</v>
      </c>
      <c r="Z236" s="11" t="s">
        <v>261</v>
      </c>
      <c r="AA236" s="11" t="s">
        <v>583</v>
      </c>
      <c r="AB236" s="11" t="s">
        <v>261</v>
      </c>
      <c r="AC236" s="11" t="s">
        <v>261</v>
      </c>
      <c r="AD236" s="11" t="s">
        <v>1220</v>
      </c>
      <c r="AE236" s="12" t="s">
        <v>261</v>
      </c>
      <c r="AF236" s="11" t="s">
        <v>261</v>
      </c>
    </row>
    <row r="237" spans="1:32" ht="45" x14ac:dyDescent="0.25">
      <c r="A237" s="11">
        <v>1</v>
      </c>
      <c r="B237" s="11">
        <v>223529</v>
      </c>
      <c r="C237" s="11" t="s">
        <v>1143</v>
      </c>
      <c r="D237" s="11" t="str">
        <f>MID(Table22[[#This Row],[تاريخ تاييد]],1,7)</f>
        <v>1404/09</v>
      </c>
      <c r="E237" s="11" t="str">
        <f>MID(Table22[[#This Row],[تاريخ تاييد]],6,2)</f>
        <v>09</v>
      </c>
      <c r="F237" s="11" t="str">
        <f>LEFT(Table22[[#This Row],[تاريخ تاييد]],4)</f>
        <v>1404</v>
      </c>
      <c r="G237" s="11" t="str">
        <f>VLOOKUP(Table22[[#This Row],[شماره فني]],Sheet7!A:C,3,0)</f>
        <v>NOD</v>
      </c>
      <c r="H237" s="11" t="str">
        <f>VLOOKUP(Table22[[#This Row],[شماره فني]],Sheet7!A:B,2,0)</f>
        <v>SBM 207 SBR</v>
      </c>
      <c r="I237" s="11" t="s">
        <v>1151</v>
      </c>
      <c r="J237" s="11" t="s">
        <v>724</v>
      </c>
      <c r="K237" s="11" t="s">
        <v>261</v>
      </c>
      <c r="L237" s="11" t="s">
        <v>261</v>
      </c>
      <c r="M237" s="11" t="s">
        <v>261</v>
      </c>
      <c r="N237" s="11" t="s">
        <v>261</v>
      </c>
      <c r="O237" s="11" t="s">
        <v>261</v>
      </c>
      <c r="P237" s="11" t="s">
        <v>261</v>
      </c>
      <c r="Q237" s="11" t="s">
        <v>961</v>
      </c>
      <c r="R237" s="11" t="s">
        <v>261</v>
      </c>
      <c r="S237" s="11" t="s">
        <v>261</v>
      </c>
      <c r="T237" s="11" t="s">
        <v>552</v>
      </c>
      <c r="U237" s="11" t="s">
        <v>784</v>
      </c>
      <c r="V237" s="11">
        <v>1</v>
      </c>
      <c r="W237" s="11" t="s">
        <v>1070</v>
      </c>
      <c r="X237" s="11" t="s">
        <v>261</v>
      </c>
      <c r="Y237" s="11" t="s">
        <v>261</v>
      </c>
      <c r="Z237" s="11" t="s">
        <v>261</v>
      </c>
      <c r="AA237" s="11" t="s">
        <v>583</v>
      </c>
      <c r="AB237" s="11" t="s">
        <v>261</v>
      </c>
      <c r="AC237" s="11" t="s">
        <v>261</v>
      </c>
      <c r="AD237" s="11" t="s">
        <v>1220</v>
      </c>
      <c r="AE237" s="12" t="s">
        <v>261</v>
      </c>
      <c r="AF237" s="11" t="s">
        <v>261</v>
      </c>
    </row>
    <row r="238" spans="1:32" ht="45" x14ac:dyDescent="0.25">
      <c r="A238" s="11">
        <v>1</v>
      </c>
      <c r="B238" s="11">
        <v>223527</v>
      </c>
      <c r="C238" s="11" t="s">
        <v>1143</v>
      </c>
      <c r="D238" s="11" t="str">
        <f>MID(Table22[[#This Row],[تاريخ تاييد]],1,7)</f>
        <v>1404/09</v>
      </c>
      <c r="E238" s="11" t="str">
        <f>MID(Table22[[#This Row],[تاريخ تاييد]],6,2)</f>
        <v>09</v>
      </c>
      <c r="F238" s="11" t="str">
        <f>LEFT(Table22[[#This Row],[تاريخ تاييد]],4)</f>
        <v>1404</v>
      </c>
      <c r="G238" s="11" t="str">
        <f>VLOOKUP(Table22[[#This Row],[شماره فني]],Sheet7!A:C,3,0)</f>
        <v>NOD</v>
      </c>
      <c r="H238" s="11" t="str">
        <f>VLOOKUP(Table22[[#This Row],[شماره فني]],Sheet7!A:B,2,0)</f>
        <v>NBCM TARA SAL SBR</v>
      </c>
      <c r="I238" s="11" t="s">
        <v>1150</v>
      </c>
      <c r="J238" s="11" t="s">
        <v>230</v>
      </c>
      <c r="K238" s="11" t="s">
        <v>261</v>
      </c>
      <c r="L238" s="11" t="s">
        <v>261</v>
      </c>
      <c r="M238" s="11" t="s">
        <v>261</v>
      </c>
      <c r="N238" s="11" t="s">
        <v>261</v>
      </c>
      <c r="O238" s="11" t="s">
        <v>261</v>
      </c>
      <c r="P238" s="11" t="s">
        <v>261</v>
      </c>
      <c r="Q238" s="11" t="s">
        <v>961</v>
      </c>
      <c r="R238" s="11" t="s">
        <v>261</v>
      </c>
      <c r="S238" s="11" t="s">
        <v>261</v>
      </c>
      <c r="T238" s="11" t="s">
        <v>552</v>
      </c>
      <c r="U238" s="11" t="s">
        <v>784</v>
      </c>
      <c r="V238" s="11">
        <v>1</v>
      </c>
      <c r="W238" s="11" t="s">
        <v>1002</v>
      </c>
      <c r="X238" s="11" t="s">
        <v>261</v>
      </c>
      <c r="Y238" s="11" t="s">
        <v>261</v>
      </c>
      <c r="Z238" s="11" t="s">
        <v>261</v>
      </c>
      <c r="AA238" s="11" t="s">
        <v>583</v>
      </c>
      <c r="AB238" s="11" t="s">
        <v>261</v>
      </c>
      <c r="AC238" s="11" t="s">
        <v>261</v>
      </c>
      <c r="AD238" s="11" t="s">
        <v>1220</v>
      </c>
      <c r="AE238" s="12" t="s">
        <v>261</v>
      </c>
      <c r="AF238" s="11" t="s">
        <v>261</v>
      </c>
    </row>
    <row r="239" spans="1:32" ht="45" x14ac:dyDescent="0.25">
      <c r="A239" s="11">
        <v>1</v>
      </c>
      <c r="B239" s="11">
        <v>225002</v>
      </c>
      <c r="C239" s="11" t="s">
        <v>1230</v>
      </c>
      <c r="D239" s="11" t="str">
        <f>MID(Table22[[#This Row],[تاريخ تاييد]],1,7)</f>
        <v>1404/10</v>
      </c>
      <c r="E239" s="11" t="str">
        <f>MID(Table22[[#This Row],[تاريخ تاييد]],6,2)</f>
        <v>10</v>
      </c>
      <c r="F239" s="11" t="str">
        <f>LEFT(Table22[[#This Row],[تاريخ تاييد]],4)</f>
        <v>1404</v>
      </c>
      <c r="G239" s="11" t="str">
        <f>VLOOKUP(Table22[[#This Row],[شماره فني]],Sheet7!A:C,3,0)</f>
        <v>NOD</v>
      </c>
      <c r="H239" s="11" t="str">
        <f>VLOOKUP(Table22[[#This Row],[شماره فني]],Sheet7!A:B,2,0)</f>
        <v>NBCM TARA SAL SBR</v>
      </c>
      <c r="I239" s="11" t="s">
        <v>1195</v>
      </c>
      <c r="J239" s="11" t="s">
        <v>723</v>
      </c>
      <c r="K239" s="11" t="s">
        <v>261</v>
      </c>
      <c r="L239" s="11" t="s">
        <v>261</v>
      </c>
      <c r="M239" s="11" t="s">
        <v>261</v>
      </c>
      <c r="N239" s="11" t="s">
        <v>261</v>
      </c>
      <c r="O239" s="11" t="s">
        <v>261</v>
      </c>
      <c r="P239" s="11" t="s">
        <v>261</v>
      </c>
      <c r="Q239" s="11" t="s">
        <v>961</v>
      </c>
      <c r="R239" s="11" t="s">
        <v>261</v>
      </c>
      <c r="S239" s="11" t="s">
        <v>261</v>
      </c>
      <c r="T239" s="11" t="s">
        <v>552</v>
      </c>
      <c r="U239" s="11" t="s">
        <v>784</v>
      </c>
      <c r="V239" s="11">
        <v>2</v>
      </c>
      <c r="W239" s="11" t="s">
        <v>1002</v>
      </c>
      <c r="X239" s="11" t="s">
        <v>261</v>
      </c>
      <c r="Y239" s="11" t="s">
        <v>261</v>
      </c>
      <c r="Z239" s="11" t="s">
        <v>261</v>
      </c>
      <c r="AA239" s="11" t="s">
        <v>583</v>
      </c>
      <c r="AB239" s="11" t="s">
        <v>261</v>
      </c>
      <c r="AC239" s="11" t="s">
        <v>261</v>
      </c>
      <c r="AD239" s="11" t="s">
        <v>1220</v>
      </c>
      <c r="AE239" s="12" t="s">
        <v>261</v>
      </c>
      <c r="AF239" s="11" t="s">
        <v>261</v>
      </c>
    </row>
    <row r="240" spans="1:32" ht="45" x14ac:dyDescent="0.25">
      <c r="A240" s="11">
        <v>1</v>
      </c>
      <c r="B240" s="11">
        <v>225172</v>
      </c>
      <c r="C240" s="11" t="s">
        <v>1231</v>
      </c>
      <c r="D240" s="11" t="str">
        <f>MID(Table22[[#This Row],[تاريخ تاييد]],1,7)</f>
        <v>1404/10</v>
      </c>
      <c r="E240" s="11" t="str">
        <f>MID(Table22[[#This Row],[تاريخ تاييد]],6,2)</f>
        <v>10</v>
      </c>
      <c r="F240" s="11" t="str">
        <f>LEFT(Table22[[#This Row],[تاريخ تاييد]],4)</f>
        <v>1404</v>
      </c>
      <c r="G240" s="11" t="str">
        <f>VLOOKUP(Table22[[#This Row],[شماره فني]],Sheet7!A:C,3,0)</f>
        <v>NOD</v>
      </c>
      <c r="H240" s="11" t="str">
        <f>VLOOKUP(Table22[[#This Row],[شماره فني]],Sheet7!A:B,2,0)</f>
        <v>NBCM TARA SAL SBR</v>
      </c>
      <c r="I240" s="11" t="s">
        <v>1196</v>
      </c>
      <c r="J240" s="11" t="s">
        <v>876</v>
      </c>
      <c r="K240" s="11" t="s">
        <v>261</v>
      </c>
      <c r="L240" s="11" t="s">
        <v>261</v>
      </c>
      <c r="M240" s="11" t="s">
        <v>261</v>
      </c>
      <c r="N240" s="11" t="s">
        <v>261</v>
      </c>
      <c r="O240" s="11" t="s">
        <v>261</v>
      </c>
      <c r="P240" s="11" t="s">
        <v>261</v>
      </c>
      <c r="Q240" s="11" t="s">
        <v>961</v>
      </c>
      <c r="R240" s="11" t="s">
        <v>261</v>
      </c>
      <c r="S240" s="11" t="s">
        <v>261</v>
      </c>
      <c r="T240" s="11" t="s">
        <v>552</v>
      </c>
      <c r="U240" s="11" t="s">
        <v>784</v>
      </c>
      <c r="V240" s="11">
        <v>1</v>
      </c>
      <c r="W240" s="11" t="s">
        <v>1002</v>
      </c>
      <c r="X240" s="11" t="s">
        <v>261</v>
      </c>
      <c r="Y240" s="11" t="s">
        <v>261</v>
      </c>
      <c r="Z240" s="11" t="s">
        <v>261</v>
      </c>
      <c r="AA240" s="11" t="s">
        <v>583</v>
      </c>
      <c r="AB240" s="11" t="s">
        <v>261</v>
      </c>
      <c r="AC240" s="11" t="s">
        <v>261</v>
      </c>
      <c r="AD240" s="11" t="s">
        <v>1220</v>
      </c>
      <c r="AE240" s="12" t="s">
        <v>261</v>
      </c>
      <c r="AF240" s="11" t="s">
        <v>261</v>
      </c>
    </row>
    <row r="241" spans="1:32" ht="45" x14ac:dyDescent="0.25">
      <c r="A241" s="11">
        <v>1</v>
      </c>
      <c r="B241" s="11">
        <v>220954</v>
      </c>
      <c r="C241" s="11" t="s">
        <v>1066</v>
      </c>
      <c r="D241" s="11" t="str">
        <f>MID(Table22[[#This Row],[تاريخ تاييد]],1,7)</f>
        <v>1404/07</v>
      </c>
      <c r="E241" s="11" t="str">
        <f>MID(Table22[[#This Row],[تاريخ تاييد]],6,2)</f>
        <v>07</v>
      </c>
      <c r="F241" s="11" t="str">
        <f>LEFT(Table22[[#This Row],[تاريخ تاييد]],4)</f>
        <v>1404</v>
      </c>
      <c r="G241" s="11" t="str">
        <f>VLOOKUP(Table22[[#This Row],[شماره فني]],Sheet7!A:C,3,0)</f>
        <v>NOD</v>
      </c>
      <c r="H241" s="11" t="str">
        <f>VLOOKUP(Table22[[#This Row],[شماره فني]],Sheet7!A:B,2,0)</f>
        <v>NBCM TARA SAL SBR</v>
      </c>
      <c r="I241" s="11" t="s">
        <v>1077</v>
      </c>
      <c r="J241" s="11" t="s">
        <v>231</v>
      </c>
      <c r="K241" s="11" t="s">
        <v>261</v>
      </c>
      <c r="L241" s="11" t="s">
        <v>261</v>
      </c>
      <c r="M241" s="11" t="s">
        <v>261</v>
      </c>
      <c r="N241" s="11" t="s">
        <v>261</v>
      </c>
      <c r="O241" s="11" t="s">
        <v>261</v>
      </c>
      <c r="P241" s="11" t="s">
        <v>261</v>
      </c>
      <c r="Q241" s="11" t="s">
        <v>961</v>
      </c>
      <c r="R241" s="11" t="s">
        <v>261</v>
      </c>
      <c r="S241" s="11" t="s">
        <v>261</v>
      </c>
      <c r="T241" s="11" t="s">
        <v>552</v>
      </c>
      <c r="U241" s="11" t="s">
        <v>784</v>
      </c>
      <c r="V241" s="11">
        <v>1</v>
      </c>
      <c r="W241" s="11" t="s">
        <v>1002</v>
      </c>
      <c r="X241" s="11" t="s">
        <v>261</v>
      </c>
      <c r="Y241" s="11" t="s">
        <v>261</v>
      </c>
      <c r="Z241" s="11" t="s">
        <v>261</v>
      </c>
      <c r="AA241" s="11" t="s">
        <v>583</v>
      </c>
      <c r="AB241" s="11" t="s">
        <v>261</v>
      </c>
      <c r="AC241" s="11" t="s">
        <v>261</v>
      </c>
      <c r="AD241" s="11" t="s">
        <v>1220</v>
      </c>
      <c r="AE241" s="12" t="s">
        <v>261</v>
      </c>
      <c r="AF241" s="11" t="s">
        <v>261</v>
      </c>
    </row>
    <row r="242" spans="1:32" ht="30" x14ac:dyDescent="0.25">
      <c r="A242" s="11">
        <v>1</v>
      </c>
      <c r="B242" s="11">
        <v>221453</v>
      </c>
      <c r="C242" s="11" t="s">
        <v>1084</v>
      </c>
      <c r="D242" s="11" t="str">
        <f>MID(Table22[[#This Row],[تاريخ تاييد]],1,7)</f>
        <v>1404/08</v>
      </c>
      <c r="E242" s="11" t="str">
        <f>MID(Table22[[#This Row],[تاريخ تاييد]],6,2)</f>
        <v>08</v>
      </c>
      <c r="F242" s="11" t="str">
        <f>LEFT(Table22[[#This Row],[تاريخ تاييد]],4)</f>
        <v>1404</v>
      </c>
      <c r="G242" s="11" t="str">
        <f>VLOOKUP(Table22[[#This Row],[شماره فني]],Sheet7!A:C,3,0)</f>
        <v>NOD</v>
      </c>
      <c r="H242" s="11" t="str">
        <f>VLOOKUP(Table22[[#This Row],[شماره فني]],Sheet7!A:B,2,0)</f>
        <v>NBCM TARA SAL SBR</v>
      </c>
      <c r="I242" s="11" t="s">
        <v>1089</v>
      </c>
      <c r="J242" s="11" t="s">
        <v>334</v>
      </c>
      <c r="K242" s="11" t="s">
        <v>22</v>
      </c>
      <c r="L242" s="11" t="s">
        <v>899</v>
      </c>
      <c r="M242" s="11" t="s">
        <v>261</v>
      </c>
      <c r="N242" s="11" t="s">
        <v>261</v>
      </c>
      <c r="O242" s="11" t="s">
        <v>261</v>
      </c>
      <c r="P242" s="11" t="s">
        <v>261</v>
      </c>
      <c r="Q242" s="11" t="s">
        <v>902</v>
      </c>
      <c r="R242" s="11" t="s">
        <v>261</v>
      </c>
      <c r="S242" s="11" t="s">
        <v>802</v>
      </c>
      <c r="T242" s="11" t="s">
        <v>797</v>
      </c>
      <c r="U242" s="11" t="s">
        <v>561</v>
      </c>
      <c r="V242" s="11">
        <v>1</v>
      </c>
      <c r="W242" s="11" t="s">
        <v>1002</v>
      </c>
      <c r="X242" s="11" t="s">
        <v>261</v>
      </c>
      <c r="Y242" s="11" t="s">
        <v>899</v>
      </c>
      <c r="Z242" s="11" t="s">
        <v>66</v>
      </c>
      <c r="AA242" s="11" t="s">
        <v>28</v>
      </c>
      <c r="AB242" s="11" t="s">
        <v>261</v>
      </c>
      <c r="AC242" s="11" t="s">
        <v>261</v>
      </c>
      <c r="AD242" s="11" t="s">
        <v>1220</v>
      </c>
      <c r="AE242" s="12" t="s">
        <v>261</v>
      </c>
      <c r="AF242" s="11" t="s">
        <v>261</v>
      </c>
    </row>
    <row r="243" spans="1:32" ht="30" x14ac:dyDescent="0.25">
      <c r="A243" s="11">
        <v>1</v>
      </c>
      <c r="B243" s="11">
        <v>223253</v>
      </c>
      <c r="C243" s="11" t="s">
        <v>1141</v>
      </c>
      <c r="D243" s="11" t="str">
        <f>MID(Table22[[#This Row],[تاريخ تاييد]],1,7)</f>
        <v>1404/09</v>
      </c>
      <c r="E243" s="11" t="str">
        <f>MID(Table22[[#This Row],[تاريخ تاييد]],6,2)</f>
        <v>09</v>
      </c>
      <c r="F243" s="11" t="str">
        <f>LEFT(Table22[[#This Row],[تاريخ تاييد]],4)</f>
        <v>1404</v>
      </c>
      <c r="G243" s="11" t="str">
        <f>VLOOKUP(Table22[[#This Row],[شماره فني]],Sheet7!A:C,3,0)</f>
        <v>NOD</v>
      </c>
      <c r="H243" s="11" t="str">
        <f>VLOOKUP(Table22[[#This Row],[شماره فني]],Sheet7!A:B,2,0)</f>
        <v>NBCM TARA SAL SBR</v>
      </c>
      <c r="I243" s="11" t="s">
        <v>1148</v>
      </c>
      <c r="J243" s="11" t="s">
        <v>334</v>
      </c>
      <c r="K243" s="11" t="s">
        <v>23</v>
      </c>
      <c r="L243" s="11" t="s">
        <v>893</v>
      </c>
      <c r="M243" s="11" t="s">
        <v>261</v>
      </c>
      <c r="N243" s="11" t="s">
        <v>261</v>
      </c>
      <c r="O243" s="11" t="s">
        <v>261</v>
      </c>
      <c r="P243" s="11" t="s">
        <v>261</v>
      </c>
      <c r="Q243" s="11" t="s">
        <v>896</v>
      </c>
      <c r="R243" s="11" t="s">
        <v>261</v>
      </c>
      <c r="S243" s="11" t="s">
        <v>799</v>
      </c>
      <c r="T243" s="11" t="s">
        <v>813</v>
      </c>
      <c r="U243" s="11" t="s">
        <v>974</v>
      </c>
      <c r="V243" s="11">
        <v>1</v>
      </c>
      <c r="W243" s="11" t="s">
        <v>1002</v>
      </c>
      <c r="X243" s="11" t="s">
        <v>261</v>
      </c>
      <c r="Y243" s="11" t="s">
        <v>893</v>
      </c>
      <c r="Z243" s="11" t="s">
        <v>66</v>
      </c>
      <c r="AA243" s="11" t="s">
        <v>27</v>
      </c>
      <c r="AB243" s="11" t="s">
        <v>987</v>
      </c>
      <c r="AC243" s="11" t="s">
        <v>261</v>
      </c>
      <c r="AD243" s="11" t="s">
        <v>1220</v>
      </c>
      <c r="AE243" s="12" t="s">
        <v>261</v>
      </c>
      <c r="AF243" s="11" t="s">
        <v>261</v>
      </c>
    </row>
    <row r="244" spans="1:32" ht="30" x14ac:dyDescent="0.25">
      <c r="A244" s="11">
        <v>1</v>
      </c>
      <c r="B244" s="11">
        <v>222848</v>
      </c>
      <c r="C244" s="11" t="s">
        <v>1130</v>
      </c>
      <c r="D244" s="11" t="str">
        <f>MID(Table22[[#This Row],[تاريخ تاييد]],1,7)</f>
        <v>1404/08</v>
      </c>
      <c r="E244" s="11" t="str">
        <f>MID(Table22[[#This Row],[تاريخ تاييد]],6,2)</f>
        <v>08</v>
      </c>
      <c r="F244" s="11" t="str">
        <f>LEFT(Table22[[#This Row],[تاريخ تاييد]],4)</f>
        <v>1404</v>
      </c>
      <c r="G244" s="11" t="str">
        <f>VLOOKUP(Table22[[#This Row],[شماره فني]],Sheet7!A:C,3,0)</f>
        <v>جلو آمپر</v>
      </c>
      <c r="H244" s="11" t="str">
        <f>VLOOKUP(Table22[[#This Row],[شماره فني]],Sheet7!A:B,2,0)</f>
        <v>جلو آمپر دنا اتوماتیک SBR</v>
      </c>
      <c r="I244" s="11" t="s">
        <v>1132</v>
      </c>
      <c r="J244" s="11" t="s">
        <v>232</v>
      </c>
      <c r="K244" s="11" t="s">
        <v>22</v>
      </c>
      <c r="L244" s="11" t="s">
        <v>899</v>
      </c>
      <c r="M244" s="11" t="s">
        <v>261</v>
      </c>
      <c r="N244" s="11" t="s">
        <v>261</v>
      </c>
      <c r="O244" s="11" t="s">
        <v>261</v>
      </c>
      <c r="P244" s="11" t="s">
        <v>261</v>
      </c>
      <c r="Q244" s="11" t="s">
        <v>900</v>
      </c>
      <c r="R244" s="11" t="s">
        <v>261</v>
      </c>
      <c r="S244" s="11" t="s">
        <v>822</v>
      </c>
      <c r="T244" s="11" t="s">
        <v>901</v>
      </c>
      <c r="U244" s="11" t="s">
        <v>586</v>
      </c>
      <c r="V244" s="11">
        <v>1</v>
      </c>
      <c r="W244" s="11" t="s">
        <v>843</v>
      </c>
      <c r="X244" s="11" t="s">
        <v>261</v>
      </c>
      <c r="Y244" s="11" t="s">
        <v>899</v>
      </c>
      <c r="Z244" s="11" t="s">
        <v>66</v>
      </c>
      <c r="AA244" s="11" t="s">
        <v>26</v>
      </c>
      <c r="AB244" s="11" t="s">
        <v>261</v>
      </c>
      <c r="AC244" s="11" t="s">
        <v>903</v>
      </c>
      <c r="AD244" s="11" t="s">
        <v>1220</v>
      </c>
      <c r="AE244" s="12" t="s">
        <v>261</v>
      </c>
      <c r="AF244" s="11" t="s">
        <v>261</v>
      </c>
    </row>
    <row r="245" spans="1:32" ht="30" x14ac:dyDescent="0.25">
      <c r="A245" s="11">
        <v>1</v>
      </c>
      <c r="B245" s="11">
        <v>224332</v>
      </c>
      <c r="C245" s="11" t="s">
        <v>1232</v>
      </c>
      <c r="D245" s="11" t="str">
        <f>MID(Table22[[#This Row],[تاريخ تاييد]],1,7)</f>
        <v>1404/09</v>
      </c>
      <c r="E245" s="11" t="str">
        <f>MID(Table22[[#This Row],[تاريخ تاييد]],6,2)</f>
        <v>09</v>
      </c>
      <c r="F245" s="11" t="str">
        <f>LEFT(Table22[[#This Row],[تاريخ تاييد]],4)</f>
        <v>1404</v>
      </c>
      <c r="G245" s="11" t="str">
        <f>VLOOKUP(Table22[[#This Row],[شماره فني]],Sheet7!A:C,3,0)</f>
        <v>جلو آمپر</v>
      </c>
      <c r="H245" s="11" t="str">
        <f>VLOOKUP(Table22[[#This Row],[شماره فني]],Sheet7!A:B,2,0)</f>
        <v>جلو آمپر دنا اتوماتیک SBR</v>
      </c>
      <c r="I245" s="11" t="s">
        <v>1197</v>
      </c>
      <c r="J245" s="11" t="s">
        <v>334</v>
      </c>
      <c r="K245" s="11" t="s">
        <v>22</v>
      </c>
      <c r="L245" s="11" t="s">
        <v>893</v>
      </c>
      <c r="M245" s="11" t="s">
        <v>261</v>
      </c>
      <c r="N245" s="11" t="s">
        <v>261</v>
      </c>
      <c r="O245" s="11" t="s">
        <v>261</v>
      </c>
      <c r="P245" s="11" t="s">
        <v>261</v>
      </c>
      <c r="Q245" s="11" t="s">
        <v>894</v>
      </c>
      <c r="R245" s="11" t="s">
        <v>261</v>
      </c>
      <c r="S245" s="11" t="s">
        <v>820</v>
      </c>
      <c r="T245" s="11" t="s">
        <v>824</v>
      </c>
      <c r="U245" s="11" t="s">
        <v>895</v>
      </c>
      <c r="V245" s="11">
        <v>1</v>
      </c>
      <c r="W245" s="11" t="s">
        <v>843</v>
      </c>
      <c r="X245" s="11" t="s">
        <v>261</v>
      </c>
      <c r="Y245" s="11" t="s">
        <v>893</v>
      </c>
      <c r="Z245" s="11" t="s">
        <v>66</v>
      </c>
      <c r="AA245" s="11" t="s">
        <v>26</v>
      </c>
      <c r="AB245" s="11" t="s">
        <v>261</v>
      </c>
      <c r="AC245" s="11" t="s">
        <v>904</v>
      </c>
      <c r="AD245" s="11" t="s">
        <v>1220</v>
      </c>
      <c r="AE245" s="12" t="s">
        <v>261</v>
      </c>
      <c r="AF245" s="11" t="s">
        <v>261</v>
      </c>
    </row>
    <row r="246" spans="1:32" ht="30" x14ac:dyDescent="0.25">
      <c r="A246" s="11">
        <v>1</v>
      </c>
      <c r="B246" s="11">
        <v>223186</v>
      </c>
      <c r="C246" s="11" t="s">
        <v>1140</v>
      </c>
      <c r="D246" s="11" t="str">
        <f>MID(Table22[[#This Row],[تاريخ تاييد]],1,7)</f>
        <v>1404/09</v>
      </c>
      <c r="E246" s="11" t="str">
        <f>MID(Table22[[#This Row],[تاريخ تاييد]],6,2)</f>
        <v>09</v>
      </c>
      <c r="F246" s="11" t="str">
        <f>LEFT(Table22[[#This Row],[تاريخ تاييد]],4)</f>
        <v>1404</v>
      </c>
      <c r="G246" s="11" t="str">
        <f>VLOOKUP(Table22[[#This Row],[شماره فني]],Sheet7!A:C,3,0)</f>
        <v>جلو آمپر</v>
      </c>
      <c r="H246" s="11" t="str">
        <f>VLOOKUP(Table22[[#This Row],[شماره فني]],Sheet7!A:B,2,0)</f>
        <v>جلو آمپر تارا دستی SBR</v>
      </c>
      <c r="I246" s="11" t="s">
        <v>1147</v>
      </c>
      <c r="J246" s="11" t="s">
        <v>723</v>
      </c>
      <c r="K246" s="11" t="s">
        <v>261</v>
      </c>
      <c r="L246" s="11" t="s">
        <v>261</v>
      </c>
      <c r="M246" s="11" t="s">
        <v>261</v>
      </c>
      <c r="N246" s="11" t="s">
        <v>261</v>
      </c>
      <c r="O246" s="11" t="s">
        <v>261</v>
      </c>
      <c r="P246" s="11" t="s">
        <v>261</v>
      </c>
      <c r="Q246" s="11" t="s">
        <v>261</v>
      </c>
      <c r="R246" s="11" t="s">
        <v>261</v>
      </c>
      <c r="S246" s="11" t="s">
        <v>261</v>
      </c>
      <c r="T246" s="11" t="s">
        <v>1055</v>
      </c>
      <c r="U246" s="11" t="s">
        <v>1055</v>
      </c>
      <c r="V246" s="11">
        <v>1</v>
      </c>
      <c r="W246" s="11" t="s">
        <v>1005</v>
      </c>
      <c r="X246" s="11" t="s">
        <v>261</v>
      </c>
      <c r="Y246" s="11" t="s">
        <v>261</v>
      </c>
      <c r="Z246" s="11" t="s">
        <v>261</v>
      </c>
      <c r="AA246" s="11" t="s">
        <v>28</v>
      </c>
      <c r="AB246" s="11" t="s">
        <v>261</v>
      </c>
      <c r="AC246" s="11" t="s">
        <v>261</v>
      </c>
      <c r="AD246" s="11" t="s">
        <v>1220</v>
      </c>
      <c r="AE246" s="12" t="s">
        <v>261</v>
      </c>
      <c r="AF246" s="11" t="s">
        <v>261</v>
      </c>
    </row>
    <row r="247" spans="1:32" ht="30" x14ac:dyDescent="0.25">
      <c r="A247" s="11">
        <v>1</v>
      </c>
      <c r="B247" s="11">
        <v>224864</v>
      </c>
      <c r="C247" s="11" t="s">
        <v>1233</v>
      </c>
      <c r="D247" s="11" t="str">
        <f>MID(Table22[[#This Row],[تاريخ تاييد]],1,7)</f>
        <v>1404/10</v>
      </c>
      <c r="E247" s="11" t="str">
        <f>MID(Table22[[#This Row],[تاريخ تاييد]],6,2)</f>
        <v>10</v>
      </c>
      <c r="F247" s="11" t="str">
        <f>LEFT(Table22[[#This Row],[تاريخ تاييد]],4)</f>
        <v>1404</v>
      </c>
      <c r="G247" s="11" t="str">
        <f>VLOOKUP(Table22[[#This Row],[شماره فني]],Sheet7!A:C,3,0)</f>
        <v>NOD</v>
      </c>
      <c r="H247" s="11" t="str">
        <f>VLOOKUP(Table22[[#This Row],[شماره فني]],Sheet7!A:B,2,0)</f>
        <v>NBCM TARA SAL SBR</v>
      </c>
      <c r="I247" s="11" t="s">
        <v>1198</v>
      </c>
      <c r="J247" s="11" t="s">
        <v>334</v>
      </c>
      <c r="K247" s="11" t="s">
        <v>22</v>
      </c>
      <c r="L247" s="11" t="s">
        <v>919</v>
      </c>
      <c r="M247" s="11" t="s">
        <v>261</v>
      </c>
      <c r="N247" s="11" t="s">
        <v>261</v>
      </c>
      <c r="O247" s="11" t="s">
        <v>261</v>
      </c>
      <c r="P247" s="11" t="s">
        <v>261</v>
      </c>
      <c r="Q247" s="11" t="s">
        <v>920</v>
      </c>
      <c r="R247" s="11" t="s">
        <v>921</v>
      </c>
      <c r="S247" s="11" t="s">
        <v>922</v>
      </c>
      <c r="T247" s="11" t="s">
        <v>809</v>
      </c>
      <c r="U247" s="11" t="s">
        <v>923</v>
      </c>
      <c r="V247" s="11">
        <v>1</v>
      </c>
      <c r="W247" s="11" t="s">
        <v>1002</v>
      </c>
      <c r="X247" s="11" t="s">
        <v>261</v>
      </c>
      <c r="Y247" s="11" t="s">
        <v>919</v>
      </c>
      <c r="Z247" s="11" t="s">
        <v>66</v>
      </c>
      <c r="AA247" s="11" t="s">
        <v>583</v>
      </c>
      <c r="AB247" s="11" t="s">
        <v>261</v>
      </c>
      <c r="AC247" s="11" t="s">
        <v>261</v>
      </c>
      <c r="AD247" s="11" t="s">
        <v>1220</v>
      </c>
      <c r="AE247" s="12" t="s">
        <v>975</v>
      </c>
      <c r="AF247" s="11" t="s">
        <v>261</v>
      </c>
    </row>
    <row r="248" spans="1:32" ht="45" x14ac:dyDescent="0.25">
      <c r="A248" s="11">
        <v>1</v>
      </c>
      <c r="B248" s="11">
        <v>225060</v>
      </c>
      <c r="C248" s="11" t="s">
        <v>1230</v>
      </c>
      <c r="D248" s="11" t="str">
        <f>MID(Table22[[#This Row],[تاريخ تاييد]],1,7)</f>
        <v>1404/10</v>
      </c>
      <c r="E248" s="11" t="str">
        <f>MID(Table22[[#This Row],[تاريخ تاييد]],6,2)</f>
        <v>10</v>
      </c>
      <c r="F248" s="11" t="str">
        <f>LEFT(Table22[[#This Row],[تاريخ تاييد]],4)</f>
        <v>1404</v>
      </c>
      <c r="G248" s="11" t="str">
        <f>VLOOKUP(Table22[[#This Row],[شماره فني]],Sheet7!A:C,3,0)</f>
        <v>جلو آمپر</v>
      </c>
      <c r="H248" s="11" t="str">
        <f>VLOOKUP(Table22[[#This Row],[شماره فني]],Sheet7!A:B,2,0)</f>
        <v>جلو آمپر تارا اتوماتیک SBR</v>
      </c>
      <c r="I248" s="11" t="s">
        <v>1199</v>
      </c>
      <c r="J248" s="11" t="s">
        <v>334</v>
      </c>
      <c r="K248" s="11" t="s">
        <v>22</v>
      </c>
      <c r="L248" s="11" t="s">
        <v>919</v>
      </c>
      <c r="M248" s="11" t="s">
        <v>261</v>
      </c>
      <c r="N248" s="11" t="s">
        <v>261</v>
      </c>
      <c r="O248" s="11" t="s">
        <v>261</v>
      </c>
      <c r="P248" s="11" t="s">
        <v>261</v>
      </c>
      <c r="Q248" s="11" t="s">
        <v>961</v>
      </c>
      <c r="R248" s="11" t="s">
        <v>261</v>
      </c>
      <c r="S248" s="11" t="s">
        <v>261</v>
      </c>
      <c r="T248" s="11" t="s">
        <v>552</v>
      </c>
      <c r="U248" s="11" t="s">
        <v>784</v>
      </c>
      <c r="V248" s="11">
        <v>1</v>
      </c>
      <c r="W248" s="11" t="s">
        <v>1037</v>
      </c>
      <c r="X248" s="11" t="s">
        <v>261</v>
      </c>
      <c r="Y248" s="11" t="s">
        <v>261</v>
      </c>
      <c r="Z248" s="11" t="s">
        <v>261</v>
      </c>
      <c r="AA248" s="11" t="s">
        <v>583</v>
      </c>
      <c r="AB248" s="11" t="s">
        <v>261</v>
      </c>
      <c r="AC248" s="11" t="s">
        <v>261</v>
      </c>
      <c r="AD248" s="11" t="s">
        <v>1220</v>
      </c>
      <c r="AE248" s="12" t="s">
        <v>261</v>
      </c>
      <c r="AF248" s="11" t="s">
        <v>261</v>
      </c>
    </row>
    <row r="249" spans="1:32" ht="75" x14ac:dyDescent="0.25">
      <c r="A249" s="11">
        <v>1</v>
      </c>
      <c r="B249" s="11">
        <v>223129</v>
      </c>
      <c r="C249" s="11" t="s">
        <v>1139</v>
      </c>
      <c r="D249" s="11" t="str">
        <f>MID(Table22[[#This Row],[تاريخ تاييد]],1,7)</f>
        <v>1404/09</v>
      </c>
      <c r="E249" s="11" t="str">
        <f>MID(Table22[[#This Row],[تاريخ تاييد]],6,2)</f>
        <v>09</v>
      </c>
      <c r="F249" s="11" t="str">
        <f>LEFT(Table22[[#This Row],[تاريخ تاييد]],4)</f>
        <v>1404</v>
      </c>
      <c r="G249" s="11" t="str">
        <f>VLOOKUP(Table22[[#This Row],[شماره فني]],Sheet7!A:C,3,0)</f>
        <v>جلو آمپر</v>
      </c>
      <c r="H249" s="11" t="str">
        <f>VLOOKUP(Table22[[#This Row],[شماره فني]],Sheet7!A:B,2,0)</f>
        <v>جلو آمپر دنا SBR</v>
      </c>
      <c r="I249" s="11" t="s">
        <v>1146</v>
      </c>
      <c r="J249" s="11" t="s">
        <v>729</v>
      </c>
      <c r="K249" s="11" t="s">
        <v>22</v>
      </c>
      <c r="L249" s="11" t="s">
        <v>919</v>
      </c>
      <c r="M249" s="11" t="s">
        <v>261</v>
      </c>
      <c r="N249" s="11" t="s">
        <v>261</v>
      </c>
      <c r="O249" s="11" t="s">
        <v>261</v>
      </c>
      <c r="P249" s="11" t="s">
        <v>261</v>
      </c>
      <c r="Q249" s="11" t="s">
        <v>925</v>
      </c>
      <c r="R249" s="11" t="s">
        <v>926</v>
      </c>
      <c r="S249" s="11" t="s">
        <v>817</v>
      </c>
      <c r="T249" s="11" t="s">
        <v>1178</v>
      </c>
      <c r="U249" s="11" t="s">
        <v>813</v>
      </c>
      <c r="V249" s="11">
        <v>1</v>
      </c>
      <c r="W249" s="11" t="s">
        <v>1004</v>
      </c>
      <c r="X249" s="11" t="s">
        <v>261</v>
      </c>
      <c r="Y249" s="11" t="s">
        <v>919</v>
      </c>
      <c r="Z249" s="11" t="s">
        <v>66</v>
      </c>
      <c r="AA249" s="11" t="s">
        <v>26</v>
      </c>
      <c r="AB249" s="11" t="s">
        <v>261</v>
      </c>
      <c r="AC249" s="11" t="s">
        <v>261</v>
      </c>
      <c r="AD249" s="11" t="s">
        <v>1220</v>
      </c>
      <c r="AE249" s="12" t="s">
        <v>976</v>
      </c>
      <c r="AF249" s="11" t="s">
        <v>261</v>
      </c>
    </row>
    <row r="250" spans="1:32" ht="30" x14ac:dyDescent="0.25">
      <c r="A250" s="11">
        <v>1</v>
      </c>
      <c r="B250" s="11">
        <v>224791</v>
      </c>
      <c r="C250" s="11" t="s">
        <v>1228</v>
      </c>
      <c r="D250" s="11" t="str">
        <f>MID(Table22[[#This Row],[تاريخ تاييد]],1,7)</f>
        <v>1404/10</v>
      </c>
      <c r="E250" s="11" t="str">
        <f>MID(Table22[[#This Row],[تاريخ تاييد]],6,2)</f>
        <v>10</v>
      </c>
      <c r="F250" s="11" t="str">
        <f>LEFT(Table22[[#This Row],[تاريخ تاييد]],4)</f>
        <v>1404</v>
      </c>
      <c r="G250" s="11" t="str">
        <f>VLOOKUP(Table22[[#This Row],[شماره فني]],Sheet7!A:C,3,0)</f>
        <v>NOD</v>
      </c>
      <c r="H250" s="11" t="str">
        <f>VLOOKUP(Table22[[#This Row],[شماره فني]],Sheet7!A:B,2,0)</f>
        <v>SBM 207 SBR</v>
      </c>
      <c r="I250" s="11" t="s">
        <v>1200</v>
      </c>
      <c r="J250" s="11" t="s">
        <v>231</v>
      </c>
      <c r="K250" s="11" t="s">
        <v>22</v>
      </c>
      <c r="L250" s="11" t="s">
        <v>919</v>
      </c>
      <c r="M250" s="11" t="s">
        <v>261</v>
      </c>
      <c r="N250" s="11" t="s">
        <v>261</v>
      </c>
      <c r="O250" s="11" t="s">
        <v>261</v>
      </c>
      <c r="P250" s="11" t="s">
        <v>261</v>
      </c>
      <c r="Q250" s="11" t="s">
        <v>949</v>
      </c>
      <c r="R250" s="11" t="s">
        <v>950</v>
      </c>
      <c r="S250" s="11" t="s">
        <v>951</v>
      </c>
      <c r="T250" s="11" t="s">
        <v>1178</v>
      </c>
      <c r="U250" s="11" t="s">
        <v>949</v>
      </c>
      <c r="V250" s="11">
        <v>1</v>
      </c>
      <c r="W250" s="11" t="s">
        <v>1070</v>
      </c>
      <c r="X250" s="11" t="s">
        <v>261</v>
      </c>
      <c r="Y250" s="11" t="s">
        <v>261</v>
      </c>
      <c r="Z250" s="11" t="s">
        <v>261</v>
      </c>
      <c r="AA250" s="11" t="s">
        <v>28</v>
      </c>
      <c r="AB250" s="11" t="s">
        <v>261</v>
      </c>
      <c r="AC250" s="11" t="s">
        <v>261</v>
      </c>
      <c r="AD250" s="11" t="s">
        <v>1220</v>
      </c>
      <c r="AE250" s="12" t="s">
        <v>261</v>
      </c>
      <c r="AF250" s="11" t="s">
        <v>261</v>
      </c>
    </row>
    <row r="251" spans="1:32" ht="30" x14ac:dyDescent="0.25">
      <c r="A251" s="11">
        <v>1</v>
      </c>
      <c r="B251" s="11">
        <v>224790</v>
      </c>
      <c r="C251" s="11" t="s">
        <v>1233</v>
      </c>
      <c r="D251" s="11" t="str">
        <f>MID(Table22[[#This Row],[تاريخ تاييد]],1,7)</f>
        <v>1404/10</v>
      </c>
      <c r="E251" s="11" t="str">
        <f>MID(Table22[[#This Row],[تاريخ تاييد]],6,2)</f>
        <v>10</v>
      </c>
      <c r="F251" s="11" t="str">
        <f>LEFT(Table22[[#This Row],[تاريخ تاييد]],4)</f>
        <v>1404</v>
      </c>
      <c r="G251" s="11" t="str">
        <f>VLOOKUP(Table22[[#This Row],[شماره فني]],Sheet7!A:C,3,0)</f>
        <v>NOD</v>
      </c>
      <c r="H251" s="11" t="str">
        <f>VLOOKUP(Table22[[#This Row],[شماره فني]],Sheet7!A:B,2,0)</f>
        <v>SBM 207 SBR</v>
      </c>
      <c r="I251" s="11" t="s">
        <v>1201</v>
      </c>
      <c r="J251" s="11" t="s">
        <v>952</v>
      </c>
      <c r="K251" s="11" t="s">
        <v>261</v>
      </c>
      <c r="L251" s="11" t="s">
        <v>261</v>
      </c>
      <c r="M251" s="11" t="s">
        <v>261</v>
      </c>
      <c r="N251" s="11" t="s">
        <v>261</v>
      </c>
      <c r="O251" s="11" t="s">
        <v>261</v>
      </c>
      <c r="P251" s="11" t="s">
        <v>261</v>
      </c>
      <c r="Q251" s="11" t="s">
        <v>261</v>
      </c>
      <c r="R251" s="11" t="s">
        <v>261</v>
      </c>
      <c r="S251" s="11" t="s">
        <v>261</v>
      </c>
      <c r="T251" s="11" t="s">
        <v>552</v>
      </c>
      <c r="U251" s="11" t="s">
        <v>784</v>
      </c>
      <c r="V251" s="11">
        <v>1</v>
      </c>
      <c r="W251" s="11" t="s">
        <v>1070</v>
      </c>
      <c r="X251" s="11" t="s">
        <v>261</v>
      </c>
      <c r="Y251" s="11" t="s">
        <v>261</v>
      </c>
      <c r="Z251" s="11" t="s">
        <v>261</v>
      </c>
      <c r="AA251" s="11" t="s">
        <v>583</v>
      </c>
      <c r="AB251" s="11" t="s">
        <v>261</v>
      </c>
      <c r="AC251" s="11" t="s">
        <v>261</v>
      </c>
      <c r="AD251" s="11" t="s">
        <v>1220</v>
      </c>
      <c r="AE251" s="12" t="s">
        <v>261</v>
      </c>
      <c r="AF251" s="11" t="s">
        <v>261</v>
      </c>
    </row>
    <row r="252" spans="1:32" ht="30" x14ac:dyDescent="0.25">
      <c r="A252" s="11">
        <v>1</v>
      </c>
      <c r="B252" s="11">
        <v>222239</v>
      </c>
      <c r="C252" s="11" t="s">
        <v>1234</v>
      </c>
      <c r="D252" s="11" t="str">
        <f>MID(Table22[[#This Row],[تاريخ تاييد]],1,7)</f>
        <v>1404/10</v>
      </c>
      <c r="E252" s="11" t="str">
        <f>MID(Table22[[#This Row],[تاريخ تاييد]],6,2)</f>
        <v>10</v>
      </c>
      <c r="F252" s="11" t="str">
        <f>LEFT(Table22[[#This Row],[تاريخ تاييد]],4)</f>
        <v>1404</v>
      </c>
      <c r="G252" s="11" t="str">
        <f>VLOOKUP(Table22[[#This Row],[شماره فني]],Sheet7!A:C,3,0)</f>
        <v>NOD</v>
      </c>
      <c r="H252" s="11" t="str">
        <f>VLOOKUP(Table22[[#This Row],[شماره فني]],Sheet7!A:B,2,0)</f>
        <v>SBM 207 SBR</v>
      </c>
      <c r="I252" s="11" t="s">
        <v>1202</v>
      </c>
      <c r="J252" s="11" t="s">
        <v>232</v>
      </c>
      <c r="K252" s="11" t="s">
        <v>22</v>
      </c>
      <c r="L252" s="11" t="s">
        <v>919</v>
      </c>
      <c r="M252" s="11" t="s">
        <v>261</v>
      </c>
      <c r="N252" s="11" t="s">
        <v>261</v>
      </c>
      <c r="O252" s="11" t="s">
        <v>261</v>
      </c>
      <c r="P252" s="11" t="s">
        <v>261</v>
      </c>
      <c r="Q252" s="11" t="s">
        <v>924</v>
      </c>
      <c r="R252" s="11" t="s">
        <v>954</v>
      </c>
      <c r="S252" s="11" t="s">
        <v>818</v>
      </c>
      <c r="T252" s="11" t="s">
        <v>824</v>
      </c>
      <c r="U252" s="11" t="s">
        <v>583</v>
      </c>
      <c r="V252" s="11">
        <v>1</v>
      </c>
      <c r="W252" s="11" t="s">
        <v>1070</v>
      </c>
      <c r="X252" s="11" t="s">
        <v>261</v>
      </c>
      <c r="Y252" s="11" t="s">
        <v>919</v>
      </c>
      <c r="Z252" s="11" t="s">
        <v>66</v>
      </c>
      <c r="AA252" s="11" t="s">
        <v>583</v>
      </c>
      <c r="AB252" s="11" t="s">
        <v>261</v>
      </c>
      <c r="AC252" s="11" t="s">
        <v>261</v>
      </c>
      <c r="AD252" s="11" t="s">
        <v>1220</v>
      </c>
      <c r="AE252" s="12" t="s">
        <v>977</v>
      </c>
      <c r="AF252" s="11" t="s">
        <v>261</v>
      </c>
    </row>
    <row r="253" spans="1:32" ht="135" x14ac:dyDescent="0.25">
      <c r="A253" s="11">
        <v>1</v>
      </c>
      <c r="B253" s="11">
        <v>222120</v>
      </c>
      <c r="C253" s="11" t="s">
        <v>1110</v>
      </c>
      <c r="D253" s="11" t="str">
        <f>MID(Table22[[#This Row],[تاريخ تاييد]],1,7)</f>
        <v>1404/08</v>
      </c>
      <c r="E253" s="11" t="str">
        <f>MID(Table22[[#This Row],[تاريخ تاييد]],6,2)</f>
        <v>08</v>
      </c>
      <c r="F253" s="11" t="str">
        <f>LEFT(Table22[[#This Row],[تاريخ تاييد]],4)</f>
        <v>1404</v>
      </c>
      <c r="G253" s="11" t="str">
        <f>VLOOKUP(Table22[[#This Row],[شماره فني]],Sheet7!A:C,3,0)</f>
        <v>کلید شیشه بالابر</v>
      </c>
      <c r="H253" s="11" t="str">
        <f>VLOOKUP(Table22[[#This Row],[شماره فني]],Sheet7!A:B,2,0)</f>
        <v>کلید شیشه بالابر جلو راست سورن</v>
      </c>
      <c r="I253" s="11" t="s">
        <v>1203</v>
      </c>
      <c r="J253" s="11" t="s">
        <v>334</v>
      </c>
      <c r="K253" s="11" t="s">
        <v>261</v>
      </c>
      <c r="L253" s="11" t="s">
        <v>261</v>
      </c>
      <c r="M253" s="11" t="s">
        <v>261</v>
      </c>
      <c r="N253" s="11" t="s">
        <v>261</v>
      </c>
      <c r="O253" s="11" t="s">
        <v>261</v>
      </c>
      <c r="P253" s="11" t="s">
        <v>261</v>
      </c>
      <c r="Q253" s="11" t="s">
        <v>961</v>
      </c>
      <c r="R253" s="11" t="s">
        <v>954</v>
      </c>
      <c r="S253" s="11" t="s">
        <v>261</v>
      </c>
      <c r="T253" s="11" t="s">
        <v>552</v>
      </c>
      <c r="U253" s="11" t="s">
        <v>784</v>
      </c>
      <c r="V253" s="11">
        <v>1</v>
      </c>
      <c r="W253" s="11" t="s">
        <v>205</v>
      </c>
      <c r="X253" s="11" t="s">
        <v>261</v>
      </c>
      <c r="Y253" s="11" t="s">
        <v>261</v>
      </c>
      <c r="Z253" s="11" t="s">
        <v>261</v>
      </c>
      <c r="AA253" s="11" t="s">
        <v>583</v>
      </c>
      <c r="AB253" s="11" t="s">
        <v>261</v>
      </c>
      <c r="AC253" s="11" t="s">
        <v>261</v>
      </c>
      <c r="AD253" s="11" t="s">
        <v>1220</v>
      </c>
      <c r="AE253" s="12" t="s">
        <v>261</v>
      </c>
      <c r="AF253" s="11" t="s">
        <v>261</v>
      </c>
    </row>
    <row r="254" spans="1:32" ht="45" x14ac:dyDescent="0.25">
      <c r="A254" s="11">
        <v>1</v>
      </c>
      <c r="B254" s="11">
        <v>223094</v>
      </c>
      <c r="C254" s="11" t="s">
        <v>1131</v>
      </c>
      <c r="D254" s="11" t="str">
        <f>MID(Table22[[#This Row],[تاريخ تاييد]],1,7)</f>
        <v>1404/09</v>
      </c>
      <c r="E254" s="11" t="str">
        <f>MID(Table22[[#This Row],[تاريخ تاييد]],6,2)</f>
        <v>09</v>
      </c>
      <c r="F254" s="11" t="str">
        <f>LEFT(Table22[[#This Row],[تاريخ تاييد]],4)</f>
        <v>1404</v>
      </c>
      <c r="G254" s="11" t="str">
        <f>VLOOKUP(Table22[[#This Row],[شماره فني]],Sheet7!A:C,3,0)</f>
        <v>کلید شیشه بالابر</v>
      </c>
      <c r="H254" s="11" t="str">
        <f>VLOOKUP(Table22[[#This Row],[شماره فني]],Sheet7!A:B,2,0)</f>
        <v xml:space="preserve">کلید شیشه بالابر عقب راست سورن SBR </v>
      </c>
      <c r="I254" s="11" t="s">
        <v>1134</v>
      </c>
      <c r="J254" s="11" t="s">
        <v>231</v>
      </c>
      <c r="K254" s="11" t="s">
        <v>261</v>
      </c>
      <c r="L254" s="11" t="s">
        <v>261</v>
      </c>
      <c r="M254" s="11" t="s">
        <v>261</v>
      </c>
      <c r="N254" s="11" t="s">
        <v>261</v>
      </c>
      <c r="O254" s="11" t="s">
        <v>261</v>
      </c>
      <c r="P254" s="11" t="s">
        <v>261</v>
      </c>
      <c r="Q254" s="11" t="s">
        <v>961</v>
      </c>
      <c r="R254" s="11" t="s">
        <v>954</v>
      </c>
      <c r="S254" s="11" t="s">
        <v>261</v>
      </c>
      <c r="T254" s="11" t="s">
        <v>552</v>
      </c>
      <c r="U254" s="11" t="s">
        <v>784</v>
      </c>
      <c r="V254" s="11">
        <v>10</v>
      </c>
      <c r="W254" s="11" t="s">
        <v>1129</v>
      </c>
      <c r="X254" s="11" t="s">
        <v>261</v>
      </c>
      <c r="Y254" s="11" t="s">
        <v>261</v>
      </c>
      <c r="Z254" s="11" t="s">
        <v>261</v>
      </c>
      <c r="AA254" s="11" t="s">
        <v>583</v>
      </c>
      <c r="AB254" s="11" t="s">
        <v>261</v>
      </c>
      <c r="AC254" s="11" t="s">
        <v>261</v>
      </c>
      <c r="AD254" s="11" t="s">
        <v>1220</v>
      </c>
      <c r="AE254" s="12" t="s">
        <v>261</v>
      </c>
      <c r="AF254" s="11" t="s">
        <v>261</v>
      </c>
    </row>
    <row r="255" spans="1:32" ht="60" x14ac:dyDescent="0.25">
      <c r="A255" s="11">
        <v>1</v>
      </c>
      <c r="B255" s="11">
        <v>224431</v>
      </c>
      <c r="C255" s="11" t="s">
        <v>1235</v>
      </c>
      <c r="D255" s="11" t="str">
        <f>MID(Table22[[#This Row],[تاريخ تاييد]],1,7)</f>
        <v>1404/09</v>
      </c>
      <c r="E255" s="11" t="str">
        <f>MID(Table22[[#This Row],[تاريخ تاييد]],6,2)</f>
        <v>09</v>
      </c>
      <c r="F255" s="11" t="str">
        <f>LEFT(Table22[[#This Row],[تاريخ تاييد]],4)</f>
        <v>1404</v>
      </c>
      <c r="G255" s="11" t="str">
        <f>VLOOKUP(Table22[[#This Row],[شماره فني]],Sheet7!A:C,3,0)</f>
        <v>کلید شیشه بالابر</v>
      </c>
      <c r="H255" s="11" t="str">
        <f>VLOOKUP(Table22[[#This Row],[شماره فني]],Sheet7!A:B,2,0)</f>
        <v>کلید شیشه بالابرعقب 207</v>
      </c>
      <c r="I255" s="11" t="s">
        <v>1204</v>
      </c>
      <c r="J255" s="11" t="s">
        <v>729</v>
      </c>
      <c r="K255" s="11" t="s">
        <v>261</v>
      </c>
      <c r="L255" s="11" t="s">
        <v>261</v>
      </c>
      <c r="M255" s="11" t="s">
        <v>261</v>
      </c>
      <c r="N255" s="11" t="s">
        <v>261</v>
      </c>
      <c r="O255" s="11" t="s">
        <v>261</v>
      </c>
      <c r="P255" s="11" t="s">
        <v>261</v>
      </c>
      <c r="Q255" s="11" t="s">
        <v>961</v>
      </c>
      <c r="R255" s="11" t="s">
        <v>954</v>
      </c>
      <c r="S255" s="11" t="s">
        <v>261</v>
      </c>
      <c r="T255" s="11" t="s">
        <v>552</v>
      </c>
      <c r="U255" s="11" t="s">
        <v>784</v>
      </c>
      <c r="V255" s="11">
        <v>100</v>
      </c>
      <c r="W255" s="11" t="s">
        <v>1069</v>
      </c>
      <c r="X255" s="11" t="s">
        <v>261</v>
      </c>
      <c r="Y255" s="11" t="s">
        <v>261</v>
      </c>
      <c r="Z255" s="11" t="s">
        <v>261</v>
      </c>
      <c r="AA255" s="11" t="s">
        <v>583</v>
      </c>
      <c r="AB255" s="11" t="s">
        <v>261</v>
      </c>
      <c r="AC255" s="11" t="s">
        <v>261</v>
      </c>
      <c r="AD255" s="11" t="s">
        <v>1220</v>
      </c>
      <c r="AE255" s="12" t="s">
        <v>261</v>
      </c>
      <c r="AF255" s="11" t="s">
        <v>261</v>
      </c>
    </row>
    <row r="256" spans="1:32" ht="30" x14ac:dyDescent="0.25">
      <c r="A256" s="11">
        <v>1</v>
      </c>
      <c r="B256" s="11">
        <v>222739</v>
      </c>
      <c r="C256" s="11" t="s">
        <v>1130</v>
      </c>
      <c r="D256" s="11" t="str">
        <f>MID(Table22[[#This Row],[تاريخ تاييد]],1,7)</f>
        <v>1404/08</v>
      </c>
      <c r="E256" s="11" t="str">
        <f>MID(Table22[[#This Row],[تاريخ تاييد]],6,2)</f>
        <v>08</v>
      </c>
      <c r="F256" s="11" t="str">
        <f>LEFT(Table22[[#This Row],[تاريخ تاييد]],4)</f>
        <v>1404</v>
      </c>
      <c r="G256" s="11" t="str">
        <f>VLOOKUP(Table22[[#This Row],[شماره فني]],Sheet7!A:C,3,0)</f>
        <v>کلید شیشه بالابر</v>
      </c>
      <c r="H256" s="11" t="str">
        <f>VLOOKUP(Table22[[#This Row],[شماره فني]],Sheet7!A:B,2,0)</f>
        <v xml:space="preserve">کلید شیشه بالابر عقب چپ سورن SBR </v>
      </c>
      <c r="I256" s="11" t="s">
        <v>1205</v>
      </c>
      <c r="J256" s="11" t="s">
        <v>334</v>
      </c>
      <c r="K256" s="11" t="s">
        <v>22</v>
      </c>
      <c r="L256" s="11" t="s">
        <v>940</v>
      </c>
      <c r="M256" s="11" t="s">
        <v>261</v>
      </c>
      <c r="N256" s="11" t="s">
        <v>261</v>
      </c>
      <c r="O256" s="11" t="s">
        <v>261</v>
      </c>
      <c r="P256" s="11" t="s">
        <v>261</v>
      </c>
      <c r="Q256" s="11" t="s">
        <v>953</v>
      </c>
      <c r="R256" s="11" t="s">
        <v>954</v>
      </c>
      <c r="S256" s="11" t="s">
        <v>818</v>
      </c>
      <c r="T256" s="11" t="s">
        <v>824</v>
      </c>
      <c r="U256" s="11" t="s">
        <v>583</v>
      </c>
      <c r="V256" s="11">
        <v>3</v>
      </c>
      <c r="W256" s="11" t="s">
        <v>1114</v>
      </c>
      <c r="X256" s="11" t="s">
        <v>261</v>
      </c>
      <c r="Y256" s="11" t="s">
        <v>940</v>
      </c>
      <c r="Z256" s="11" t="s">
        <v>66</v>
      </c>
      <c r="AA256" s="11" t="s">
        <v>583</v>
      </c>
      <c r="AB256" s="11" t="s">
        <v>261</v>
      </c>
      <c r="AC256" s="11" t="s">
        <v>261</v>
      </c>
      <c r="AD256" s="11" t="s">
        <v>1220</v>
      </c>
      <c r="AE256" s="12" t="s">
        <v>977</v>
      </c>
      <c r="AF256" s="11" t="s">
        <v>261</v>
      </c>
    </row>
    <row r="257" spans="1:32" ht="60" x14ac:dyDescent="0.25">
      <c r="A257" s="11">
        <v>1</v>
      </c>
      <c r="B257" s="11">
        <v>224259</v>
      </c>
      <c r="C257" s="11" t="s">
        <v>1236</v>
      </c>
      <c r="D257" s="11" t="str">
        <f>MID(Table22[[#This Row],[تاريخ تاييد]],1,7)</f>
        <v>1404/09</v>
      </c>
      <c r="E257" s="11" t="str">
        <f>MID(Table22[[#This Row],[تاريخ تاييد]],6,2)</f>
        <v>09</v>
      </c>
      <c r="F257" s="11" t="str">
        <f>LEFT(Table22[[#This Row],[تاريخ تاييد]],4)</f>
        <v>1404</v>
      </c>
      <c r="G257" s="11" t="str">
        <f>VLOOKUP(Table22[[#This Row],[شماره فني]],Sheet7!A:C,3,0)</f>
        <v>کلید شیشه بالابر</v>
      </c>
      <c r="H257" s="11" t="str">
        <f>VLOOKUP(Table22[[#This Row],[شماره فني]],Sheet7!A:B,2,0)</f>
        <v>کلید شیشه بالابر جلو چپ سورن</v>
      </c>
      <c r="I257" s="11" t="s">
        <v>1206</v>
      </c>
      <c r="J257" s="11" t="s">
        <v>231</v>
      </c>
      <c r="K257" s="11" t="s">
        <v>261</v>
      </c>
      <c r="L257" s="11" t="s">
        <v>261</v>
      </c>
      <c r="M257" s="11" t="s">
        <v>261</v>
      </c>
      <c r="N257" s="11" t="s">
        <v>261</v>
      </c>
      <c r="O257" s="11" t="s">
        <v>261</v>
      </c>
      <c r="P257" s="11" t="s">
        <v>261</v>
      </c>
      <c r="Q257" s="11" t="s">
        <v>261</v>
      </c>
      <c r="R257" s="11" t="s">
        <v>261</v>
      </c>
      <c r="S257" s="11" t="s">
        <v>261</v>
      </c>
      <c r="T257" s="11" t="s">
        <v>552</v>
      </c>
      <c r="U257" s="11" t="s">
        <v>784</v>
      </c>
      <c r="V257" s="11">
        <v>1</v>
      </c>
      <c r="W257" s="11" t="s">
        <v>306</v>
      </c>
      <c r="X257" s="11" t="s">
        <v>261</v>
      </c>
      <c r="Y257" s="11" t="s">
        <v>261</v>
      </c>
      <c r="Z257" s="11" t="s">
        <v>261</v>
      </c>
      <c r="AA257" s="11" t="s">
        <v>583</v>
      </c>
      <c r="AB257" s="11" t="s">
        <v>261</v>
      </c>
      <c r="AC257" s="11" t="s">
        <v>261</v>
      </c>
      <c r="AD257" s="11" t="s">
        <v>1220</v>
      </c>
      <c r="AE257" s="12" t="s">
        <v>261</v>
      </c>
      <c r="AF257" s="11" t="s">
        <v>261</v>
      </c>
    </row>
    <row r="258" spans="1:32" ht="30" x14ac:dyDescent="0.25">
      <c r="A258" s="11">
        <v>1</v>
      </c>
      <c r="B258" s="11">
        <v>222741</v>
      </c>
      <c r="C258" s="11" t="s">
        <v>1130</v>
      </c>
      <c r="D258" s="11" t="str">
        <f>MID(Table22[[#This Row],[تاريخ تاييد]],1,7)</f>
        <v>1404/08</v>
      </c>
      <c r="E258" s="11" t="str">
        <f>MID(Table22[[#This Row],[تاريخ تاييد]],6,2)</f>
        <v>08</v>
      </c>
      <c r="F258" s="11" t="str">
        <f>LEFT(Table22[[#This Row],[تاريخ تاييد]],4)</f>
        <v>1404</v>
      </c>
      <c r="G258" s="11" t="str">
        <f>VLOOKUP(Table22[[#This Row],[شماره فني]],Sheet7!A:C,3,0)</f>
        <v>کلید شیشه بالابر</v>
      </c>
      <c r="H258" s="11" t="str">
        <f>VLOOKUP(Table22[[#This Row],[شماره فني]],Sheet7!A:B,2,0)</f>
        <v xml:space="preserve">کلید شیشه بالابر عقب چپ سورن SBR </v>
      </c>
      <c r="I258" s="11" t="s">
        <v>1207</v>
      </c>
      <c r="J258" s="11" t="s">
        <v>937</v>
      </c>
      <c r="K258" s="11" t="s">
        <v>22</v>
      </c>
      <c r="L258" s="11" t="s">
        <v>1016</v>
      </c>
      <c r="M258" s="11" t="s">
        <v>261</v>
      </c>
      <c r="N258" s="11" t="s">
        <v>261</v>
      </c>
      <c r="O258" s="11" t="s">
        <v>261</v>
      </c>
      <c r="P258" s="11" t="s">
        <v>261</v>
      </c>
      <c r="Q258" s="11" t="s">
        <v>1023</v>
      </c>
      <c r="R258" s="11" t="s">
        <v>1024</v>
      </c>
      <c r="S258" s="11" t="s">
        <v>818</v>
      </c>
      <c r="T258" s="11" t="s">
        <v>824</v>
      </c>
      <c r="U258" s="11" t="s">
        <v>1054</v>
      </c>
      <c r="V258" s="11">
        <v>3</v>
      </c>
      <c r="W258" s="11" t="s">
        <v>1114</v>
      </c>
      <c r="X258" s="11" t="s">
        <v>261</v>
      </c>
      <c r="Y258" s="11" t="s">
        <v>261</v>
      </c>
      <c r="Z258" s="11" t="s">
        <v>261</v>
      </c>
      <c r="AA258" s="11" t="s">
        <v>29</v>
      </c>
      <c r="AB258" s="11" t="s">
        <v>261</v>
      </c>
      <c r="AC258" s="11" t="s">
        <v>261</v>
      </c>
      <c r="AD258" s="11" t="s">
        <v>1220</v>
      </c>
      <c r="AE258" s="12" t="s">
        <v>261</v>
      </c>
      <c r="AF258" s="11" t="s">
        <v>261</v>
      </c>
    </row>
    <row r="259" spans="1:32" ht="45" x14ac:dyDescent="0.25">
      <c r="A259" s="11">
        <v>1</v>
      </c>
      <c r="B259" s="11">
        <v>215690</v>
      </c>
      <c r="C259" s="11" t="s">
        <v>915</v>
      </c>
      <c r="D259" s="11" t="str">
        <f>MID(Table22[[#This Row],[تاريخ تاييد]],1,7)</f>
        <v>1404/04</v>
      </c>
      <c r="E259" s="11" t="str">
        <f>MID(Table22[[#This Row],[تاريخ تاييد]],6,2)</f>
        <v>04</v>
      </c>
      <c r="F259" s="11" t="str">
        <f>LEFT(Table22[[#This Row],[تاريخ تاييد]],4)</f>
        <v>1404</v>
      </c>
      <c r="G259" s="11" t="str">
        <f>VLOOKUP(Table22[[#This Row],[شماره فني]],Sheet7!A:C,3,0)</f>
        <v>جلو آمپر</v>
      </c>
      <c r="H259" s="11" t="str">
        <f>VLOOKUP(Table22[[#This Row],[شماره فني]],Sheet7!A:B,2,0)</f>
        <v>جلو آمپرSOREN TC 85 گانه</v>
      </c>
      <c r="I259" s="11" t="s">
        <v>908</v>
      </c>
      <c r="J259" s="11" t="s">
        <v>938</v>
      </c>
      <c r="K259" s="11" t="s">
        <v>23</v>
      </c>
      <c r="L259" s="11" t="s">
        <v>955</v>
      </c>
      <c r="M259" s="11" t="s">
        <v>261</v>
      </c>
      <c r="N259" s="11" t="s">
        <v>261</v>
      </c>
      <c r="O259" s="11" t="s">
        <v>261</v>
      </c>
      <c r="P259" s="11" t="s">
        <v>261</v>
      </c>
      <c r="Q259" s="11" t="s">
        <v>956</v>
      </c>
      <c r="R259" s="11" t="s">
        <v>957</v>
      </c>
      <c r="S259" s="11" t="s">
        <v>817</v>
      </c>
      <c r="T259" s="11" t="s">
        <v>1178</v>
      </c>
      <c r="U259" s="11" t="s">
        <v>958</v>
      </c>
      <c r="V259" s="11">
        <v>3</v>
      </c>
      <c r="W259" s="11" t="s">
        <v>32</v>
      </c>
      <c r="X259" s="11" t="s">
        <v>261</v>
      </c>
      <c r="Y259" s="11" t="s">
        <v>955</v>
      </c>
      <c r="Z259" s="11" t="s">
        <v>66</v>
      </c>
      <c r="AA259" s="11" t="s">
        <v>27</v>
      </c>
      <c r="AB259" s="11" t="s">
        <v>960</v>
      </c>
      <c r="AC259" s="11" t="s">
        <v>261</v>
      </c>
      <c r="AD259" s="11" t="s">
        <v>1221</v>
      </c>
      <c r="AE259" s="12" t="s">
        <v>261</v>
      </c>
      <c r="AF259" s="11" t="s">
        <v>261</v>
      </c>
    </row>
    <row r="260" spans="1:32" ht="30" x14ac:dyDescent="0.25">
      <c r="A260" s="11">
        <v>1</v>
      </c>
      <c r="B260" s="11">
        <v>214902</v>
      </c>
      <c r="C260" s="11" t="s">
        <v>884</v>
      </c>
      <c r="D260" s="11" t="str">
        <f>MID(Table22[[#This Row],[تاريخ تاييد]],1,7)</f>
        <v>1404/03</v>
      </c>
      <c r="E260" s="11" t="str">
        <f>MID(Table22[[#This Row],[تاريخ تاييد]],6,2)</f>
        <v>03</v>
      </c>
      <c r="F260" s="11" t="str">
        <f>LEFT(Table22[[#This Row],[تاريخ تاييد]],4)</f>
        <v>1404</v>
      </c>
      <c r="G260" s="11" t="str">
        <f>VLOOKUP(Table22[[#This Row],[شماره فني]],Sheet7!A:C,3,0)</f>
        <v>کلید شیشه بالابر</v>
      </c>
      <c r="H260" s="11" t="str">
        <f>VLOOKUP(Table22[[#This Row],[شماره فني]],Sheet7!A:B,2,0)</f>
        <v>کلید شیشه بالابر جلو راست سورن</v>
      </c>
      <c r="I260" s="11" t="s">
        <v>890</v>
      </c>
      <c r="J260" s="11" t="s">
        <v>725</v>
      </c>
      <c r="K260" s="11" t="s">
        <v>261</v>
      </c>
      <c r="L260" s="11" t="s">
        <v>261</v>
      </c>
      <c r="M260" s="11" t="s">
        <v>261</v>
      </c>
      <c r="N260" s="11" t="s">
        <v>261</v>
      </c>
      <c r="O260" s="11" t="s">
        <v>261</v>
      </c>
      <c r="P260" s="11" t="s">
        <v>261</v>
      </c>
      <c r="Q260" s="11" t="s">
        <v>261</v>
      </c>
      <c r="R260" s="11" t="s">
        <v>261</v>
      </c>
      <c r="S260" s="11" t="s">
        <v>261</v>
      </c>
      <c r="T260" s="11" t="s">
        <v>552</v>
      </c>
      <c r="U260" s="11" t="s">
        <v>784</v>
      </c>
      <c r="V260" s="11">
        <v>10</v>
      </c>
      <c r="W260" s="11" t="s">
        <v>205</v>
      </c>
      <c r="X260" s="11" t="s">
        <v>261</v>
      </c>
      <c r="Y260" s="11" t="s">
        <v>261</v>
      </c>
      <c r="Z260" s="11" t="s">
        <v>261</v>
      </c>
      <c r="AA260" s="11" t="s">
        <v>583</v>
      </c>
      <c r="AB260" s="11" t="s">
        <v>261</v>
      </c>
      <c r="AC260" s="11" t="s">
        <v>261</v>
      </c>
      <c r="AD260" s="11" t="s">
        <v>1221</v>
      </c>
      <c r="AE260" s="12" t="s">
        <v>261</v>
      </c>
      <c r="AF260" s="11" t="s">
        <v>261</v>
      </c>
    </row>
    <row r="261" spans="1:32" ht="30" x14ac:dyDescent="0.25">
      <c r="A261" s="11">
        <v>1</v>
      </c>
      <c r="B261" s="11">
        <v>211517</v>
      </c>
      <c r="C261" s="11" t="s">
        <v>610</v>
      </c>
      <c r="D261" s="11" t="str">
        <f>MID(Table22[[#This Row],[تاريخ تاييد]],1,7)</f>
        <v>1404/01</v>
      </c>
      <c r="E261" s="11" t="str">
        <f>MID(Table22[[#This Row],[تاريخ تاييد]],6,2)</f>
        <v>01</v>
      </c>
      <c r="F261" s="11" t="str">
        <f>LEFT(Table22[[#This Row],[تاريخ تاييد]],4)</f>
        <v>1404</v>
      </c>
      <c r="G261" s="11" t="str">
        <f>VLOOKUP(Table22[[#This Row],[شماره فني]],Sheet7!A:C,3,0)</f>
        <v>جلو آمپر</v>
      </c>
      <c r="H261" s="11" t="str">
        <f>VLOOKUP(Table22[[#This Row],[شماره فني]],Sheet7!A:B,2,0)</f>
        <v>جلو آمپر207  معمولی85 گانه</v>
      </c>
      <c r="I261" s="11" t="s">
        <v>614</v>
      </c>
      <c r="J261" s="11" t="s">
        <v>334</v>
      </c>
      <c r="K261" s="11" t="s">
        <v>261</v>
      </c>
      <c r="L261" s="11" t="s">
        <v>261</v>
      </c>
      <c r="M261" s="11" t="s">
        <v>261</v>
      </c>
      <c r="N261" s="11" t="s">
        <v>261</v>
      </c>
      <c r="O261" s="11" t="s">
        <v>261</v>
      </c>
      <c r="P261" s="11" t="s">
        <v>261</v>
      </c>
      <c r="Q261" s="11" t="s">
        <v>261</v>
      </c>
      <c r="R261" s="11" t="s">
        <v>261</v>
      </c>
      <c r="S261" s="11" t="s">
        <v>261</v>
      </c>
      <c r="T261" s="11" t="s">
        <v>552</v>
      </c>
      <c r="U261" s="11" t="s">
        <v>784</v>
      </c>
      <c r="V261" s="11">
        <v>1</v>
      </c>
      <c r="W261" s="11" t="s">
        <v>30</v>
      </c>
      <c r="X261" s="11" t="s">
        <v>261</v>
      </c>
      <c r="Y261" s="11" t="s">
        <v>261</v>
      </c>
      <c r="Z261" s="11" t="s">
        <v>261</v>
      </c>
      <c r="AA261" s="11" t="s">
        <v>583</v>
      </c>
      <c r="AB261" s="11" t="s">
        <v>261</v>
      </c>
      <c r="AC261" s="11" t="s">
        <v>261</v>
      </c>
      <c r="AD261" s="11" t="s">
        <v>1221</v>
      </c>
      <c r="AE261" s="12" t="s">
        <v>261</v>
      </c>
      <c r="AF261" s="11" t="s">
        <v>261</v>
      </c>
    </row>
    <row r="262" spans="1:32" ht="30" x14ac:dyDescent="0.25">
      <c r="A262" s="11">
        <v>1</v>
      </c>
      <c r="B262" s="11">
        <v>215475</v>
      </c>
      <c r="C262" s="11" t="s">
        <v>913</v>
      </c>
      <c r="D262" s="11" t="str">
        <f>MID(Table22[[#This Row],[تاريخ تاييد]],1,7)</f>
        <v>1404/04</v>
      </c>
      <c r="E262" s="11" t="str">
        <f>MID(Table22[[#This Row],[تاريخ تاييد]],6,2)</f>
        <v>04</v>
      </c>
      <c r="F262" s="11" t="str">
        <f>LEFT(Table22[[#This Row],[تاريخ تاييد]],4)</f>
        <v>1404</v>
      </c>
      <c r="G262" s="11" t="str">
        <f>VLOOKUP(Table22[[#This Row],[شماره فني]],Sheet7!A:C,3,0)</f>
        <v>جلو آمپر</v>
      </c>
      <c r="H262" s="11" t="str">
        <f>VLOOKUP(Table22[[#This Row],[شماره فني]],Sheet7!A:B,2,0)</f>
        <v>جلو آمپر207 اتوماتیک85 گانه</v>
      </c>
      <c r="I262" s="11" t="s">
        <v>906</v>
      </c>
      <c r="J262" s="11" t="s">
        <v>723</v>
      </c>
      <c r="K262" s="11" t="s">
        <v>261</v>
      </c>
      <c r="L262" s="11" t="s">
        <v>261</v>
      </c>
      <c r="M262" s="11" t="s">
        <v>261</v>
      </c>
      <c r="N262" s="11" t="s">
        <v>261</v>
      </c>
      <c r="O262" s="11" t="s">
        <v>261</v>
      </c>
      <c r="P262" s="11" t="s">
        <v>261</v>
      </c>
      <c r="Q262" s="11" t="s">
        <v>261</v>
      </c>
      <c r="R262" s="11" t="s">
        <v>261</v>
      </c>
      <c r="S262" s="11" t="s">
        <v>261</v>
      </c>
      <c r="T262" s="11" t="s">
        <v>552</v>
      </c>
      <c r="U262" s="11" t="s">
        <v>552</v>
      </c>
      <c r="V262" s="11">
        <v>1</v>
      </c>
      <c r="W262" s="11" t="s">
        <v>31</v>
      </c>
      <c r="X262" s="11" t="s">
        <v>261</v>
      </c>
      <c r="Y262" s="11" t="s">
        <v>261</v>
      </c>
      <c r="Z262" s="11" t="s">
        <v>261</v>
      </c>
      <c r="AA262" s="11" t="s">
        <v>583</v>
      </c>
      <c r="AB262" s="11" t="s">
        <v>261</v>
      </c>
      <c r="AC262" s="11" t="s">
        <v>261</v>
      </c>
      <c r="AD262" s="11" t="s">
        <v>1221</v>
      </c>
      <c r="AE262" s="12" t="s">
        <v>261</v>
      </c>
      <c r="AF262" s="11" t="s">
        <v>261</v>
      </c>
    </row>
    <row r="263" spans="1:32" ht="30" x14ac:dyDescent="0.25">
      <c r="A263" s="11">
        <v>1</v>
      </c>
      <c r="B263" s="11">
        <v>212345</v>
      </c>
      <c r="C263" s="11" t="s">
        <v>845</v>
      </c>
      <c r="D263" s="11" t="str">
        <f>MID(Table22[[#This Row],[تاريخ تاييد]],1,7)</f>
        <v>1404/02</v>
      </c>
      <c r="E263" s="11" t="str">
        <f>MID(Table22[[#This Row],[تاريخ تاييد]],6,2)</f>
        <v>02</v>
      </c>
      <c r="F263" s="11" t="str">
        <f>LEFT(Table22[[#This Row],[تاريخ تاييد]],4)</f>
        <v>1404</v>
      </c>
      <c r="G263" s="11" t="str">
        <f>VLOOKUP(Table22[[#This Row],[شماره فني]],Sheet7!A:C,3,0)</f>
        <v>جلو آمپر</v>
      </c>
      <c r="H263" s="11" t="str">
        <f>VLOOKUP(Table22[[#This Row],[شماره فني]],Sheet7!A:B,2,0)</f>
        <v>جلو آمپر دنا اتوماتیک SBR</v>
      </c>
      <c r="I263" s="11" t="s">
        <v>848</v>
      </c>
      <c r="J263" s="11" t="s">
        <v>334</v>
      </c>
      <c r="K263" s="11" t="s">
        <v>261</v>
      </c>
      <c r="L263" s="11" t="s">
        <v>261</v>
      </c>
      <c r="M263" s="11" t="s">
        <v>261</v>
      </c>
      <c r="N263" s="11" t="s">
        <v>261</v>
      </c>
      <c r="O263" s="11" t="s">
        <v>261</v>
      </c>
      <c r="P263" s="11" t="s">
        <v>261</v>
      </c>
      <c r="Q263" s="11" t="s">
        <v>261</v>
      </c>
      <c r="R263" s="11" t="s">
        <v>261</v>
      </c>
      <c r="S263" s="11" t="s">
        <v>261</v>
      </c>
      <c r="T263" s="11" t="s">
        <v>552</v>
      </c>
      <c r="U263" s="11" t="s">
        <v>784</v>
      </c>
      <c r="V263" s="11">
        <v>1</v>
      </c>
      <c r="W263" s="11" t="s">
        <v>843</v>
      </c>
      <c r="X263" s="11" t="s">
        <v>261</v>
      </c>
      <c r="Y263" s="11" t="s">
        <v>261</v>
      </c>
      <c r="Z263" s="11" t="s">
        <v>261</v>
      </c>
      <c r="AA263" s="11" t="s">
        <v>583</v>
      </c>
      <c r="AB263" s="11" t="s">
        <v>261</v>
      </c>
      <c r="AC263" s="11" t="s">
        <v>261</v>
      </c>
      <c r="AD263" s="11" t="s">
        <v>1221</v>
      </c>
      <c r="AE263" s="12" t="s">
        <v>261</v>
      </c>
      <c r="AF263" s="11" t="s">
        <v>261</v>
      </c>
    </row>
    <row r="264" spans="1:32" ht="30" x14ac:dyDescent="0.25">
      <c r="A264" s="11">
        <v>1</v>
      </c>
      <c r="B264" s="11">
        <v>211469</v>
      </c>
      <c r="C264" s="11" t="s">
        <v>610</v>
      </c>
      <c r="D264" s="11" t="str">
        <f>MID(Table22[[#This Row],[تاريخ تاييد]],1,7)</f>
        <v>1404/01</v>
      </c>
      <c r="E264" s="11" t="str">
        <f>MID(Table22[[#This Row],[تاريخ تاييد]],6,2)</f>
        <v>01</v>
      </c>
      <c r="F264" s="11" t="str">
        <f>LEFT(Table22[[#This Row],[تاريخ تاييد]],4)</f>
        <v>1404</v>
      </c>
      <c r="G264" s="11" t="str">
        <f>VLOOKUP(Table22[[#This Row],[شماره فني]],Sheet7!A:C,3,0)</f>
        <v>جلو آمپر</v>
      </c>
      <c r="H264" s="11" t="str">
        <f>VLOOKUP(Table22[[#This Row],[شماره فني]],Sheet7!A:B,2,0)</f>
        <v>جلو آمپر تارا دستی</v>
      </c>
      <c r="I264" s="11" t="s">
        <v>613</v>
      </c>
      <c r="J264" s="11" t="s">
        <v>231</v>
      </c>
      <c r="K264" s="11" t="s">
        <v>22</v>
      </c>
      <c r="L264" s="11" t="s">
        <v>1016</v>
      </c>
      <c r="M264" s="11" t="s">
        <v>261</v>
      </c>
      <c r="N264" s="11" t="s">
        <v>261</v>
      </c>
      <c r="O264" s="11" t="s">
        <v>261</v>
      </c>
      <c r="P264" s="11" t="s">
        <v>261</v>
      </c>
      <c r="Q264" s="11" t="s">
        <v>486</v>
      </c>
      <c r="R264" s="11" t="s">
        <v>261</v>
      </c>
      <c r="S264" s="11" t="s">
        <v>231</v>
      </c>
      <c r="T264" s="11" t="s">
        <v>797</v>
      </c>
      <c r="U264" s="11" t="s">
        <v>552</v>
      </c>
      <c r="V264" s="11">
        <v>1</v>
      </c>
      <c r="W264" s="11" t="s">
        <v>97</v>
      </c>
      <c r="X264" s="11" t="s">
        <v>261</v>
      </c>
      <c r="Y264" s="11" t="s">
        <v>261</v>
      </c>
      <c r="Z264" s="11" t="s">
        <v>261</v>
      </c>
      <c r="AA264" s="11" t="s">
        <v>28</v>
      </c>
      <c r="AB264" s="11" t="s">
        <v>261</v>
      </c>
      <c r="AC264" s="11" t="s">
        <v>261</v>
      </c>
      <c r="AD264" s="11" t="s">
        <v>1221</v>
      </c>
      <c r="AE264" s="12" t="s">
        <v>261</v>
      </c>
      <c r="AF264" s="11" t="s">
        <v>261</v>
      </c>
    </row>
    <row r="265" spans="1:32" ht="30" x14ac:dyDescent="0.25">
      <c r="A265" s="11">
        <v>1</v>
      </c>
      <c r="B265" s="11">
        <v>218623</v>
      </c>
      <c r="C265" s="11" t="s">
        <v>1015</v>
      </c>
      <c r="D265" s="11" t="str">
        <f>MID(Table22[[#This Row],[تاريخ تاييد]],1,7)</f>
        <v>1404/06</v>
      </c>
      <c r="E265" s="11" t="str">
        <f>MID(Table22[[#This Row],[تاريخ تاييد]],6,2)</f>
        <v>06</v>
      </c>
      <c r="F265" s="11" t="str">
        <f>LEFT(Table22[[#This Row],[تاريخ تاييد]],4)</f>
        <v>1404</v>
      </c>
      <c r="G265" s="11" t="str">
        <f>VLOOKUP(Table22[[#This Row],[شماره فني]],Sheet7!A:C,3,0)</f>
        <v>جلو آمپر</v>
      </c>
      <c r="H265" s="11" t="str">
        <f>VLOOKUP(Table22[[#This Row],[شماره فني]],Sheet7!A:B,2,0)</f>
        <v>جلو آمپر تارا دستی SBR</v>
      </c>
      <c r="I265" s="11" t="s">
        <v>1012</v>
      </c>
      <c r="J265" s="11" t="s">
        <v>824</v>
      </c>
      <c r="K265" s="11" t="s">
        <v>22</v>
      </c>
      <c r="L265" s="11" t="s">
        <v>1016</v>
      </c>
      <c r="M265" s="11" t="s">
        <v>261</v>
      </c>
      <c r="N265" s="11" t="s">
        <v>261</v>
      </c>
      <c r="O265" s="11" t="s">
        <v>261</v>
      </c>
      <c r="P265" s="11" t="s">
        <v>261</v>
      </c>
      <c r="Q265" s="11" t="s">
        <v>1017</v>
      </c>
      <c r="R265" s="11" t="s">
        <v>1018</v>
      </c>
      <c r="S265" s="11" t="s">
        <v>830</v>
      </c>
      <c r="T265" s="11" t="s">
        <v>824</v>
      </c>
      <c r="U265" s="11" t="s">
        <v>561</v>
      </c>
      <c r="V265" s="11">
        <v>1</v>
      </c>
      <c r="W265" s="11" t="s">
        <v>1005</v>
      </c>
      <c r="X265" s="11" t="s">
        <v>261</v>
      </c>
      <c r="Y265" s="11" t="s">
        <v>261</v>
      </c>
      <c r="Z265" s="11" t="s">
        <v>261</v>
      </c>
      <c r="AA265" s="11" t="s">
        <v>28</v>
      </c>
      <c r="AB265" s="11" t="s">
        <v>261</v>
      </c>
      <c r="AC265" s="11" t="s">
        <v>261</v>
      </c>
      <c r="AD265" s="11" t="s">
        <v>1221</v>
      </c>
      <c r="AE265" s="12" t="s">
        <v>261</v>
      </c>
      <c r="AF265" s="11" t="s">
        <v>261</v>
      </c>
    </row>
    <row r="266" spans="1:32" ht="30" x14ac:dyDescent="0.25">
      <c r="A266" s="11">
        <v>1</v>
      </c>
      <c r="B266" s="11">
        <v>211340</v>
      </c>
      <c r="C266" s="11" t="s">
        <v>609</v>
      </c>
      <c r="D266" s="11" t="str">
        <f>MID(Table22[[#This Row],[تاريخ تاييد]],1,7)</f>
        <v>1404/01</v>
      </c>
      <c r="E266" s="11" t="str">
        <f>MID(Table22[[#This Row],[تاريخ تاييد]],6,2)</f>
        <v>01</v>
      </c>
      <c r="F266" s="11" t="str">
        <f>LEFT(Table22[[#This Row],[تاريخ تاييد]],4)</f>
        <v>1404</v>
      </c>
      <c r="G266" s="11" t="str">
        <f>VLOOKUP(Table22[[#This Row],[شماره فني]],Sheet7!A:C,3,0)</f>
        <v>جلو آمپر</v>
      </c>
      <c r="H266" s="11" t="str">
        <f>VLOOKUP(Table22[[#This Row],[شماره فني]],Sheet7!A:B,2,0)</f>
        <v>جلو آمپر207 اتوماتیک85 گانه</v>
      </c>
      <c r="I266" s="11" t="s">
        <v>612</v>
      </c>
      <c r="J266" s="11" t="s">
        <v>1135</v>
      </c>
      <c r="K266" s="11" t="s">
        <v>261</v>
      </c>
      <c r="L266" s="11" t="s">
        <v>261</v>
      </c>
      <c r="M266" s="11" t="s">
        <v>261</v>
      </c>
      <c r="N266" s="11" t="s">
        <v>261</v>
      </c>
      <c r="O266" s="11" t="s">
        <v>261</v>
      </c>
      <c r="P266" s="11" t="s">
        <v>261</v>
      </c>
      <c r="Q266" s="11" t="s">
        <v>261</v>
      </c>
      <c r="R266" s="11" t="s">
        <v>261</v>
      </c>
      <c r="S266" s="11" t="s">
        <v>261</v>
      </c>
      <c r="T266" s="11" t="s">
        <v>552</v>
      </c>
      <c r="U266" s="11" t="s">
        <v>784</v>
      </c>
      <c r="V266" s="11">
        <v>1</v>
      </c>
      <c r="W266" s="11" t="s">
        <v>31</v>
      </c>
      <c r="X266" s="11" t="s">
        <v>261</v>
      </c>
      <c r="Y266" s="11" t="s">
        <v>261</v>
      </c>
      <c r="Z266" s="11" t="s">
        <v>261</v>
      </c>
      <c r="AA266" s="11" t="s">
        <v>583</v>
      </c>
      <c r="AB266" s="11" t="s">
        <v>261</v>
      </c>
      <c r="AC266" s="11" t="s">
        <v>261</v>
      </c>
      <c r="AD266" s="11" t="s">
        <v>1221</v>
      </c>
      <c r="AE266" s="12" t="s">
        <v>261</v>
      </c>
      <c r="AF266" s="11" t="s">
        <v>261</v>
      </c>
    </row>
    <row r="267" spans="1:32" ht="30" x14ac:dyDescent="0.25">
      <c r="A267" s="11">
        <v>1</v>
      </c>
      <c r="B267" s="11">
        <v>212454</v>
      </c>
      <c r="C267" s="11" t="s">
        <v>846</v>
      </c>
      <c r="D267" s="11" t="str">
        <f>MID(Table22[[#This Row],[تاريخ تاييد]],1,7)</f>
        <v>1404/02</v>
      </c>
      <c r="E267" s="11" t="str">
        <f>MID(Table22[[#This Row],[تاريخ تاييد]],6,2)</f>
        <v>02</v>
      </c>
      <c r="F267" s="11" t="str">
        <f>LEFT(Table22[[#This Row],[تاريخ تاييد]],4)</f>
        <v>1404</v>
      </c>
      <c r="G267" s="11" t="str">
        <f>VLOOKUP(Table22[[#This Row],[شماره فني]],Sheet7!A:C,3,0)</f>
        <v>جلو آمپر</v>
      </c>
      <c r="H267" s="11" t="str">
        <f>VLOOKUP(Table22[[#This Row],[شماره فني]],Sheet7!A:B,2,0)</f>
        <v>جلو آمپر207  معمولی85 گانه</v>
      </c>
      <c r="I267" s="11" t="s">
        <v>849</v>
      </c>
      <c r="J267" s="11" t="s">
        <v>723</v>
      </c>
      <c r="K267" s="11" t="s">
        <v>261</v>
      </c>
      <c r="L267" s="11" t="s">
        <v>261</v>
      </c>
      <c r="M267" s="11" t="s">
        <v>261</v>
      </c>
      <c r="N267" s="11" t="s">
        <v>261</v>
      </c>
      <c r="O267" s="11" t="s">
        <v>261</v>
      </c>
      <c r="P267" s="11" t="s">
        <v>261</v>
      </c>
      <c r="Q267" s="11" t="s">
        <v>261</v>
      </c>
      <c r="R267" s="11" t="s">
        <v>261</v>
      </c>
      <c r="S267" s="11" t="s">
        <v>261</v>
      </c>
      <c r="T267" s="11" t="s">
        <v>552</v>
      </c>
      <c r="U267" s="11" t="s">
        <v>784</v>
      </c>
      <c r="V267" s="11">
        <v>1</v>
      </c>
      <c r="W267" s="11" t="s">
        <v>30</v>
      </c>
      <c r="X267" s="11" t="s">
        <v>261</v>
      </c>
      <c r="Y267" s="11" t="s">
        <v>261</v>
      </c>
      <c r="Z267" s="11" t="s">
        <v>261</v>
      </c>
      <c r="AA267" s="11" t="s">
        <v>583</v>
      </c>
      <c r="AB267" s="11" t="s">
        <v>261</v>
      </c>
      <c r="AC267" s="11" t="s">
        <v>261</v>
      </c>
      <c r="AD267" s="11" t="s">
        <v>1221</v>
      </c>
      <c r="AE267" s="12" t="s">
        <v>261</v>
      </c>
      <c r="AF267" s="11" t="s">
        <v>261</v>
      </c>
    </row>
    <row r="268" spans="1:32" ht="30" x14ac:dyDescent="0.25">
      <c r="A268" s="11">
        <v>1</v>
      </c>
      <c r="B268" s="11">
        <v>213358</v>
      </c>
      <c r="C268" s="11" t="s">
        <v>859</v>
      </c>
      <c r="D268" s="11" t="str">
        <f>MID(Table22[[#This Row],[تاريخ تاييد]],1,7)</f>
        <v>1404/02</v>
      </c>
      <c r="E268" s="11" t="str">
        <f>MID(Table22[[#This Row],[تاريخ تاييد]],6,2)</f>
        <v>02</v>
      </c>
      <c r="F268" s="11" t="str">
        <f>LEFT(Table22[[#This Row],[تاريخ تاييد]],4)</f>
        <v>1404</v>
      </c>
      <c r="G268" s="11" t="str">
        <f>VLOOKUP(Table22[[#This Row],[شماره فني]],Sheet7!A:C,3,0)</f>
        <v>جلو آمپر</v>
      </c>
      <c r="H268" s="11" t="str">
        <f>VLOOKUP(Table22[[#This Row],[شماره فني]],Sheet7!A:B,2,0)</f>
        <v>جلو آمپر207  معمولی85 گانه</v>
      </c>
      <c r="I268" s="11" t="s">
        <v>862</v>
      </c>
      <c r="J268" s="11" t="s">
        <v>723</v>
      </c>
      <c r="K268" s="11" t="s">
        <v>261</v>
      </c>
      <c r="L268" s="11" t="s">
        <v>261</v>
      </c>
      <c r="M268" s="11" t="s">
        <v>261</v>
      </c>
      <c r="N268" s="11" t="s">
        <v>261</v>
      </c>
      <c r="O268" s="11" t="s">
        <v>261</v>
      </c>
      <c r="P268" s="11" t="s">
        <v>261</v>
      </c>
      <c r="Q268" s="11" t="s">
        <v>261</v>
      </c>
      <c r="R268" s="11" t="s">
        <v>261</v>
      </c>
      <c r="S268" s="11" t="s">
        <v>261</v>
      </c>
      <c r="T268" s="11" t="s">
        <v>552</v>
      </c>
      <c r="U268" s="11" t="s">
        <v>784</v>
      </c>
      <c r="V268" s="11">
        <v>2</v>
      </c>
      <c r="W268" s="11" t="s">
        <v>30</v>
      </c>
      <c r="X268" s="11" t="s">
        <v>261</v>
      </c>
      <c r="Y268" s="11" t="s">
        <v>261</v>
      </c>
      <c r="Z268" s="11" t="s">
        <v>261</v>
      </c>
      <c r="AA268" s="11" t="s">
        <v>583</v>
      </c>
      <c r="AB268" s="11" t="s">
        <v>261</v>
      </c>
      <c r="AC268" s="11" t="s">
        <v>261</v>
      </c>
      <c r="AD268" s="11" t="s">
        <v>1221</v>
      </c>
      <c r="AE268" s="12" t="s">
        <v>261</v>
      </c>
      <c r="AF268" s="11" t="s">
        <v>261</v>
      </c>
    </row>
    <row r="269" spans="1:32" ht="30" x14ac:dyDescent="0.25">
      <c r="A269" s="11">
        <v>1</v>
      </c>
      <c r="B269" s="11">
        <v>214858</v>
      </c>
      <c r="C269" s="11" t="s">
        <v>884</v>
      </c>
      <c r="D269" s="11" t="str">
        <f>MID(Table22[[#This Row],[تاريخ تاييد]],1,7)</f>
        <v>1404/03</v>
      </c>
      <c r="E269" s="11" t="str">
        <f>MID(Table22[[#This Row],[تاريخ تاييد]],6,2)</f>
        <v>03</v>
      </c>
      <c r="F269" s="11" t="str">
        <f>LEFT(Table22[[#This Row],[تاريخ تاييد]],4)</f>
        <v>1404</v>
      </c>
      <c r="G269" s="11" t="str">
        <f>VLOOKUP(Table22[[#This Row],[شماره فني]],Sheet7!A:C,3,0)</f>
        <v>جلو آمپر</v>
      </c>
      <c r="H269" s="11" t="str">
        <f>VLOOKUP(Table22[[#This Row],[شماره فني]],Sheet7!A:B,2,0)</f>
        <v>جلو آمپر207  معمولی85 گانه</v>
      </c>
      <c r="I269" s="11" t="s">
        <v>888</v>
      </c>
      <c r="J269" s="11" t="s">
        <v>231</v>
      </c>
      <c r="K269" s="11" t="s">
        <v>261</v>
      </c>
      <c r="L269" s="11" t="s">
        <v>261</v>
      </c>
      <c r="M269" s="11" t="s">
        <v>261</v>
      </c>
      <c r="N269" s="11" t="s">
        <v>261</v>
      </c>
      <c r="O269" s="11" t="s">
        <v>261</v>
      </c>
      <c r="P269" s="11" t="s">
        <v>261</v>
      </c>
      <c r="Q269" s="11" t="s">
        <v>261</v>
      </c>
      <c r="R269" s="11" t="s">
        <v>261</v>
      </c>
      <c r="S269" s="11" t="s">
        <v>261</v>
      </c>
      <c r="T269" s="11" t="s">
        <v>552</v>
      </c>
      <c r="U269" s="11" t="s">
        <v>552</v>
      </c>
      <c r="V269" s="11">
        <v>2</v>
      </c>
      <c r="W269" s="11" t="s">
        <v>30</v>
      </c>
      <c r="X269" s="11" t="s">
        <v>261</v>
      </c>
      <c r="Y269" s="11" t="s">
        <v>261</v>
      </c>
      <c r="Z269" s="11" t="s">
        <v>261</v>
      </c>
      <c r="AA269" s="11" t="s">
        <v>583</v>
      </c>
      <c r="AB269" s="11" t="s">
        <v>261</v>
      </c>
      <c r="AC269" s="11" t="s">
        <v>261</v>
      </c>
      <c r="AD269" s="11" t="s">
        <v>1221</v>
      </c>
      <c r="AE269" s="12" t="s">
        <v>261</v>
      </c>
      <c r="AF269" s="11" t="s">
        <v>261</v>
      </c>
    </row>
    <row r="270" spans="1:32" ht="150" x14ac:dyDescent="0.25">
      <c r="A270" s="11">
        <v>1</v>
      </c>
      <c r="B270" s="11">
        <v>217015</v>
      </c>
      <c r="C270" s="11" t="s">
        <v>940</v>
      </c>
      <c r="D270" s="11" t="str">
        <f>MID(Table22[[#This Row],[تاريخ تاييد]],1,7)</f>
        <v>1404/05</v>
      </c>
      <c r="E270" s="11" t="str">
        <f>MID(Table22[[#This Row],[تاريخ تاييد]],6,2)</f>
        <v>05</v>
      </c>
      <c r="F270" s="11" t="str">
        <f>LEFT(Table22[[#This Row],[تاريخ تاييد]],4)</f>
        <v>1404</v>
      </c>
      <c r="G270" s="11" t="str">
        <f>VLOOKUP(Table22[[#This Row],[شماره فني]],Sheet7!A:C,3,0)</f>
        <v>جلو آمپر</v>
      </c>
      <c r="H270" s="11" t="str">
        <f>VLOOKUP(Table22[[#This Row],[شماره فني]],Sheet7!A:B,2,0)</f>
        <v>جلو آمپر207  معمولی85 گانه</v>
      </c>
      <c r="I270" s="11" t="s">
        <v>1208</v>
      </c>
      <c r="J270" s="11" t="s">
        <v>851</v>
      </c>
      <c r="K270" s="11" t="s">
        <v>22</v>
      </c>
      <c r="L270" s="11" t="s">
        <v>1021</v>
      </c>
      <c r="M270" s="11" t="s">
        <v>261</v>
      </c>
      <c r="N270" s="11" t="s">
        <v>261</v>
      </c>
      <c r="O270" s="11" t="s">
        <v>261</v>
      </c>
      <c r="P270" s="11" t="s">
        <v>261</v>
      </c>
      <c r="Q270" s="11" t="s">
        <v>167</v>
      </c>
      <c r="R270" s="11" t="s">
        <v>261</v>
      </c>
      <c r="S270" s="11" t="s">
        <v>801</v>
      </c>
      <c r="T270" s="11" t="s">
        <v>797</v>
      </c>
      <c r="U270" s="11" t="s">
        <v>1138</v>
      </c>
      <c r="V270" s="11">
        <v>1</v>
      </c>
      <c r="W270" s="11" t="s">
        <v>30</v>
      </c>
      <c r="X270" s="11" t="s">
        <v>261</v>
      </c>
      <c r="Y270" s="11" t="s">
        <v>1021</v>
      </c>
      <c r="Z270" s="11" t="s">
        <v>66</v>
      </c>
      <c r="AA270" s="11" t="s">
        <v>28</v>
      </c>
      <c r="AB270" s="11" t="s">
        <v>261</v>
      </c>
      <c r="AC270" s="11" t="s">
        <v>261</v>
      </c>
      <c r="AD270" s="11" t="s">
        <v>1221</v>
      </c>
      <c r="AE270" s="12" t="s">
        <v>1137</v>
      </c>
      <c r="AF270" s="11" t="s">
        <v>261</v>
      </c>
    </row>
    <row r="271" spans="1:32" ht="30" x14ac:dyDescent="0.25">
      <c r="A271" s="11">
        <v>1</v>
      </c>
      <c r="B271" s="11">
        <v>216879</v>
      </c>
      <c r="C271" s="11" t="s">
        <v>931</v>
      </c>
      <c r="D271" s="11" t="str">
        <f>MID(Table22[[#This Row],[تاريخ تاييد]],1,7)</f>
        <v>1404/05</v>
      </c>
      <c r="E271" s="11" t="str">
        <f>MID(Table22[[#This Row],[تاريخ تاييد]],6,2)</f>
        <v>05</v>
      </c>
      <c r="F271" s="11" t="str">
        <f>LEFT(Table22[[#This Row],[تاريخ تاييد]],4)</f>
        <v>1404</v>
      </c>
      <c r="G271" s="11" t="str">
        <f>VLOOKUP(Table22[[#This Row],[شماره فني]],Sheet7!A:C,3,0)</f>
        <v>جلو آمپر</v>
      </c>
      <c r="H271" s="11" t="str">
        <f>VLOOKUP(Table22[[#This Row],[شماره فني]],Sheet7!A:B,2,0)</f>
        <v>جلو آمپر دنا اتوماتیک SBR</v>
      </c>
      <c r="I271" s="11" t="s">
        <v>936</v>
      </c>
      <c r="J271" s="11" t="s">
        <v>231</v>
      </c>
      <c r="K271" s="11" t="s">
        <v>22</v>
      </c>
      <c r="L271" s="11" t="s">
        <v>1021</v>
      </c>
      <c r="M271" s="11" t="s">
        <v>261</v>
      </c>
      <c r="N271" s="11" t="s">
        <v>261</v>
      </c>
      <c r="O271" s="11" t="s">
        <v>261</v>
      </c>
      <c r="P271" s="11" t="s">
        <v>261</v>
      </c>
      <c r="Q271" s="11" t="s">
        <v>754</v>
      </c>
      <c r="R271" s="11" t="s">
        <v>261</v>
      </c>
      <c r="S271" s="11" t="s">
        <v>231</v>
      </c>
      <c r="T271" s="11" t="s">
        <v>797</v>
      </c>
      <c r="U271" s="11" t="s">
        <v>1138</v>
      </c>
      <c r="V271" s="11">
        <v>1</v>
      </c>
      <c r="W271" s="11" t="s">
        <v>843</v>
      </c>
      <c r="X271" s="11" t="s">
        <v>261</v>
      </c>
      <c r="Y271" s="11" t="s">
        <v>1021</v>
      </c>
      <c r="Z271" s="11" t="s">
        <v>66</v>
      </c>
      <c r="AA271" s="11" t="s">
        <v>28</v>
      </c>
      <c r="AB271" s="11" t="s">
        <v>261</v>
      </c>
      <c r="AC271" s="11" t="s">
        <v>261</v>
      </c>
      <c r="AD271" s="11" t="s">
        <v>1221</v>
      </c>
      <c r="AE271" s="12" t="s">
        <v>261</v>
      </c>
      <c r="AF271" s="11" t="s">
        <v>261</v>
      </c>
    </row>
    <row r="272" spans="1:32" ht="30" x14ac:dyDescent="0.25">
      <c r="A272" s="11">
        <v>1</v>
      </c>
      <c r="B272" s="11">
        <v>211559</v>
      </c>
      <c r="C272" s="11" t="s">
        <v>610</v>
      </c>
      <c r="D272" s="11" t="str">
        <f>MID(Table22[[#This Row],[تاريخ تاييد]],1,7)</f>
        <v>1404/01</v>
      </c>
      <c r="E272" s="11" t="str">
        <f>MID(Table22[[#This Row],[تاريخ تاييد]],6,2)</f>
        <v>01</v>
      </c>
      <c r="F272" s="11" t="str">
        <f>LEFT(Table22[[#This Row],[تاريخ تاييد]],4)</f>
        <v>1404</v>
      </c>
      <c r="G272" s="11" t="str">
        <f>VLOOKUP(Table22[[#This Row],[شماره فني]],Sheet7!A:C,3,0)</f>
        <v>جلو آمپر</v>
      </c>
      <c r="H272" s="11" t="str">
        <f>VLOOKUP(Table22[[#This Row],[شماره فني]],Sheet7!A:B,2,0)</f>
        <v>جلو آمپر تارا اتوماتیک</v>
      </c>
      <c r="I272" s="11" t="s">
        <v>615</v>
      </c>
      <c r="J272" s="11" t="s">
        <v>231</v>
      </c>
      <c r="K272" s="11" t="s">
        <v>22</v>
      </c>
      <c r="L272" s="11" t="s">
        <v>1021</v>
      </c>
      <c r="M272" s="11" t="s">
        <v>261</v>
      </c>
      <c r="N272" s="11" t="s">
        <v>261</v>
      </c>
      <c r="O272" s="11" t="s">
        <v>261</v>
      </c>
      <c r="P272" s="11" t="s">
        <v>261</v>
      </c>
      <c r="Q272" s="11" t="s">
        <v>754</v>
      </c>
      <c r="R272" s="11" t="s">
        <v>261</v>
      </c>
      <c r="S272" s="11" t="s">
        <v>231</v>
      </c>
      <c r="T272" s="11" t="s">
        <v>797</v>
      </c>
      <c r="U272" s="11" t="s">
        <v>1138</v>
      </c>
      <c r="V272" s="11">
        <v>1</v>
      </c>
      <c r="W272" s="11" t="s">
        <v>20</v>
      </c>
      <c r="X272" s="11" t="s">
        <v>261</v>
      </c>
      <c r="Y272" s="11" t="s">
        <v>1021</v>
      </c>
      <c r="Z272" s="11" t="s">
        <v>66</v>
      </c>
      <c r="AA272" s="11" t="s">
        <v>28</v>
      </c>
      <c r="AB272" s="11" t="s">
        <v>261</v>
      </c>
      <c r="AC272" s="11" t="s">
        <v>261</v>
      </c>
      <c r="AD272" s="11" t="s">
        <v>1221</v>
      </c>
      <c r="AE272" s="12" t="s">
        <v>261</v>
      </c>
      <c r="AF272" s="11" t="s">
        <v>261</v>
      </c>
    </row>
    <row r="273" spans="1:32" ht="30" x14ac:dyDescent="0.25">
      <c r="A273" s="11">
        <v>1</v>
      </c>
      <c r="B273" s="11">
        <v>214859</v>
      </c>
      <c r="C273" s="11" t="s">
        <v>884</v>
      </c>
      <c r="D273" s="11" t="str">
        <f>MID(Table22[[#This Row],[تاريخ تاييد]],1,7)</f>
        <v>1404/03</v>
      </c>
      <c r="E273" s="11" t="str">
        <f>MID(Table22[[#This Row],[تاريخ تاييد]],6,2)</f>
        <v>03</v>
      </c>
      <c r="F273" s="11" t="str">
        <f>LEFT(Table22[[#This Row],[تاريخ تاييد]],4)</f>
        <v>1404</v>
      </c>
      <c r="G273" s="11" t="str">
        <f>VLOOKUP(Table22[[#This Row],[شماره فني]],Sheet7!A:C,3,0)</f>
        <v>جلو آمپر</v>
      </c>
      <c r="H273" s="11" t="str">
        <f>VLOOKUP(Table22[[#This Row],[شماره فني]],Sheet7!A:B,2,0)</f>
        <v>جلو آمپر تارا اتوماتیک</v>
      </c>
      <c r="I273" s="11" t="s">
        <v>889</v>
      </c>
      <c r="J273" s="11" t="s">
        <v>851</v>
      </c>
      <c r="K273" s="11" t="s">
        <v>22</v>
      </c>
      <c r="L273" s="11" t="s">
        <v>1021</v>
      </c>
      <c r="M273" s="11" t="s">
        <v>261</v>
      </c>
      <c r="N273" s="11" t="s">
        <v>261</v>
      </c>
      <c r="O273" s="11" t="s">
        <v>261</v>
      </c>
      <c r="P273" s="11" t="s">
        <v>261</v>
      </c>
      <c r="Q273" s="11" t="s">
        <v>167</v>
      </c>
      <c r="R273" s="11" t="s">
        <v>261</v>
      </c>
      <c r="S273" s="11" t="s">
        <v>801</v>
      </c>
      <c r="T273" s="11" t="s">
        <v>797</v>
      </c>
      <c r="U273" s="11" t="s">
        <v>1138</v>
      </c>
      <c r="V273" s="11">
        <v>1</v>
      </c>
      <c r="W273" s="11" t="s">
        <v>20</v>
      </c>
      <c r="X273" s="11" t="s">
        <v>261</v>
      </c>
      <c r="Y273" s="11" t="s">
        <v>1021</v>
      </c>
      <c r="Z273" s="11" t="s">
        <v>66</v>
      </c>
      <c r="AA273" s="11" t="s">
        <v>28</v>
      </c>
      <c r="AB273" s="11" t="s">
        <v>261</v>
      </c>
      <c r="AC273" s="11" t="s">
        <v>261</v>
      </c>
      <c r="AD273" s="11" t="s">
        <v>1221</v>
      </c>
      <c r="AE273" s="12" t="s">
        <v>261</v>
      </c>
      <c r="AF273" s="11" t="s">
        <v>261</v>
      </c>
    </row>
    <row r="274" spans="1:32" ht="30" x14ac:dyDescent="0.25">
      <c r="A274" s="11">
        <v>1</v>
      </c>
      <c r="B274" s="11">
        <v>220194</v>
      </c>
      <c r="C274" s="11" t="s">
        <v>1047</v>
      </c>
      <c r="D274" s="11" t="str">
        <f>MID(Table22[[#This Row],[تاريخ تاييد]],1,7)</f>
        <v>1404/07</v>
      </c>
      <c r="E274" s="11" t="str">
        <f>MID(Table22[[#This Row],[تاريخ تاييد]],6,2)</f>
        <v>07</v>
      </c>
      <c r="F274" s="11" t="str">
        <f>LEFT(Table22[[#This Row],[تاريخ تاييد]],4)</f>
        <v>1404</v>
      </c>
      <c r="G274" s="11" t="str">
        <f>VLOOKUP(Table22[[#This Row],[شماره فني]],Sheet7!A:C,3,0)</f>
        <v>جلو آمپر</v>
      </c>
      <c r="H274" s="11" t="str">
        <f>VLOOKUP(Table22[[#This Row],[شماره فني]],Sheet7!A:B,2,0)</f>
        <v>جلو آمپر تارا اتوماتیک SBR</v>
      </c>
      <c r="I274" s="11" t="s">
        <v>1052</v>
      </c>
      <c r="J274" s="11" t="s">
        <v>723</v>
      </c>
      <c r="K274" s="11" t="s">
        <v>261</v>
      </c>
      <c r="L274" s="11" t="s">
        <v>261</v>
      </c>
      <c r="M274" s="11" t="s">
        <v>261</v>
      </c>
      <c r="N274" s="11" t="s">
        <v>261</v>
      </c>
      <c r="O274" s="11" t="s">
        <v>261</v>
      </c>
      <c r="P274" s="11" t="s">
        <v>261</v>
      </c>
      <c r="Q274" s="11" t="s">
        <v>261</v>
      </c>
      <c r="R274" s="11" t="s">
        <v>261</v>
      </c>
      <c r="S274" s="11" t="s">
        <v>261</v>
      </c>
      <c r="T274" s="11" t="s">
        <v>552</v>
      </c>
      <c r="U274" s="11" t="s">
        <v>552</v>
      </c>
      <c r="V274" s="11">
        <v>1</v>
      </c>
      <c r="W274" s="11" t="s">
        <v>1037</v>
      </c>
      <c r="X274" s="11" t="s">
        <v>261</v>
      </c>
      <c r="Y274" s="11" t="s">
        <v>261</v>
      </c>
      <c r="Z274" s="11" t="s">
        <v>261</v>
      </c>
      <c r="AA274" s="11" t="s">
        <v>583</v>
      </c>
      <c r="AB274" s="11" t="s">
        <v>261</v>
      </c>
      <c r="AC274" s="11" t="s">
        <v>261</v>
      </c>
      <c r="AD274" s="11" t="s">
        <v>1221</v>
      </c>
      <c r="AE274" s="12" t="s">
        <v>261</v>
      </c>
      <c r="AF274" s="11" t="s">
        <v>261</v>
      </c>
    </row>
    <row r="275" spans="1:32" ht="30" x14ac:dyDescent="0.25">
      <c r="A275" s="11">
        <v>1</v>
      </c>
      <c r="B275" s="11">
        <v>212132</v>
      </c>
      <c r="C275" s="11" t="s">
        <v>714</v>
      </c>
      <c r="D275" s="11" t="str">
        <f>MID(Table22[[#This Row],[تاريخ تاييد]],1,7)</f>
        <v>1404/02</v>
      </c>
      <c r="E275" s="11" t="str">
        <f>MID(Table22[[#This Row],[تاريخ تاييد]],6,2)</f>
        <v>02</v>
      </c>
      <c r="F275" s="11" t="str">
        <f>LEFT(Table22[[#This Row],[تاريخ تاييد]],4)</f>
        <v>1404</v>
      </c>
      <c r="G275" s="11" t="str">
        <f>VLOOKUP(Table22[[#This Row],[شماره فني]],Sheet7!A:C,3,0)</f>
        <v>جلو آمپر</v>
      </c>
      <c r="H275" s="11" t="str">
        <f>VLOOKUP(Table22[[#This Row],[شماره فني]],Sheet7!A:B,2,0)</f>
        <v>جلو آمپر دنا ST</v>
      </c>
      <c r="I275" s="11" t="s">
        <v>722</v>
      </c>
      <c r="J275" s="11" t="s">
        <v>724</v>
      </c>
      <c r="K275" s="11" t="s">
        <v>261</v>
      </c>
      <c r="L275" s="11" t="s">
        <v>261</v>
      </c>
      <c r="M275" s="11" t="s">
        <v>261</v>
      </c>
      <c r="N275" s="11" t="s">
        <v>261</v>
      </c>
      <c r="O275" s="11" t="s">
        <v>261</v>
      </c>
      <c r="P275" s="11" t="s">
        <v>261</v>
      </c>
      <c r="Q275" s="11" t="s">
        <v>261</v>
      </c>
      <c r="R275" s="11" t="s">
        <v>261</v>
      </c>
      <c r="S275" s="11" t="s">
        <v>261</v>
      </c>
      <c r="T275" s="11" t="s">
        <v>552</v>
      </c>
      <c r="U275" s="11" t="s">
        <v>784</v>
      </c>
      <c r="V275" s="11">
        <v>48</v>
      </c>
      <c r="W275" s="11" t="s">
        <v>96</v>
      </c>
      <c r="X275" s="11" t="s">
        <v>261</v>
      </c>
      <c r="Y275" s="11" t="s">
        <v>261</v>
      </c>
      <c r="Z275" s="11" t="s">
        <v>261</v>
      </c>
      <c r="AA275" s="11" t="s">
        <v>583</v>
      </c>
      <c r="AB275" s="11" t="s">
        <v>261</v>
      </c>
      <c r="AC275" s="11" t="s">
        <v>261</v>
      </c>
      <c r="AD275" s="11" t="s">
        <v>1221</v>
      </c>
      <c r="AE275" s="12" t="s">
        <v>261</v>
      </c>
      <c r="AF275" s="11" t="s">
        <v>261</v>
      </c>
    </row>
    <row r="276" spans="1:32" ht="30" x14ac:dyDescent="0.25">
      <c r="A276" s="11">
        <v>1</v>
      </c>
      <c r="B276" s="11">
        <v>213942</v>
      </c>
      <c r="C276" s="11" t="s">
        <v>871</v>
      </c>
      <c r="D276" s="11" t="str">
        <f>MID(Table22[[#This Row],[تاريخ تاييد]],1,7)</f>
        <v>1404/03</v>
      </c>
      <c r="E276" s="11" t="str">
        <f>MID(Table22[[#This Row],[تاريخ تاييد]],6,2)</f>
        <v>03</v>
      </c>
      <c r="F276" s="11" t="str">
        <f>LEFT(Table22[[#This Row],[تاريخ تاييد]],4)</f>
        <v>1404</v>
      </c>
      <c r="G276" s="11" t="str">
        <f>VLOOKUP(Table22[[#This Row],[شماره فني]],Sheet7!A:C,3,0)</f>
        <v>جلو آمپر</v>
      </c>
      <c r="H276" s="11" t="str">
        <f>VLOOKUP(Table22[[#This Row],[شماره فني]],Sheet7!A:B,2,0)</f>
        <v>جلو آمپر207  معمولی85 گانه</v>
      </c>
      <c r="I276" s="11" t="s">
        <v>1209</v>
      </c>
      <c r="J276" s="11" t="s">
        <v>724</v>
      </c>
      <c r="K276" s="11" t="s">
        <v>261</v>
      </c>
      <c r="L276" s="11" t="s">
        <v>261</v>
      </c>
      <c r="M276" s="11" t="s">
        <v>261</v>
      </c>
      <c r="N276" s="11" t="s">
        <v>261</v>
      </c>
      <c r="O276" s="11" t="s">
        <v>261</v>
      </c>
      <c r="P276" s="11" t="s">
        <v>261</v>
      </c>
      <c r="Q276" s="11" t="s">
        <v>261</v>
      </c>
      <c r="R276" s="11" t="s">
        <v>261</v>
      </c>
      <c r="S276" s="11" t="s">
        <v>261</v>
      </c>
      <c r="T276" s="11" t="s">
        <v>552</v>
      </c>
      <c r="U276" s="11" t="s">
        <v>552</v>
      </c>
      <c r="V276" s="11">
        <v>1</v>
      </c>
      <c r="W276" s="11" t="s">
        <v>30</v>
      </c>
      <c r="X276" s="11" t="s">
        <v>261</v>
      </c>
      <c r="Y276" s="11" t="s">
        <v>261</v>
      </c>
      <c r="Z276" s="11" t="s">
        <v>261</v>
      </c>
      <c r="AA276" s="11" t="s">
        <v>583</v>
      </c>
      <c r="AB276" s="11" t="s">
        <v>261</v>
      </c>
      <c r="AC276" s="11" t="s">
        <v>261</v>
      </c>
      <c r="AD276" s="11" t="s">
        <v>1221</v>
      </c>
      <c r="AE276" s="12" t="s">
        <v>261</v>
      </c>
      <c r="AF276" s="11" t="s">
        <v>261</v>
      </c>
    </row>
    <row r="277" spans="1:32" ht="30" x14ac:dyDescent="0.25">
      <c r="A277" s="11">
        <v>1</v>
      </c>
      <c r="B277" s="11">
        <v>219837</v>
      </c>
      <c r="C277" s="11" t="s">
        <v>1036</v>
      </c>
      <c r="D277" s="11" t="str">
        <f>MID(Table22[[#This Row],[تاريخ تاييد]],1,7)</f>
        <v>1404/07</v>
      </c>
      <c r="E277" s="11" t="str">
        <f>MID(Table22[[#This Row],[تاريخ تاييد]],6,2)</f>
        <v>07</v>
      </c>
      <c r="F277" s="11" t="str">
        <f>LEFT(Table22[[#This Row],[تاريخ تاييد]],4)</f>
        <v>1404</v>
      </c>
      <c r="G277" s="11" t="str">
        <f>VLOOKUP(Table22[[#This Row],[شماره فني]],Sheet7!A:C,3,0)</f>
        <v>جلو آمپر</v>
      </c>
      <c r="H277" s="11" t="str">
        <f>VLOOKUP(Table22[[#This Row],[شماره فني]],Sheet7!A:B,2,0)</f>
        <v>جلو آمپر تارا دستی SBR</v>
      </c>
      <c r="I277" s="11" t="s">
        <v>1040</v>
      </c>
      <c r="J277" s="11" t="s">
        <v>233</v>
      </c>
      <c r="K277" s="11" t="s">
        <v>261</v>
      </c>
      <c r="L277" s="11" t="s">
        <v>261</v>
      </c>
      <c r="M277" s="11" t="s">
        <v>261</v>
      </c>
      <c r="N277" s="11" t="s">
        <v>261</v>
      </c>
      <c r="O277" s="11" t="s">
        <v>261</v>
      </c>
      <c r="P277" s="11" t="s">
        <v>261</v>
      </c>
      <c r="Q277" s="11" t="s">
        <v>261</v>
      </c>
      <c r="R277" s="11" t="s">
        <v>261</v>
      </c>
      <c r="S277" s="11" t="s">
        <v>261</v>
      </c>
      <c r="T277" s="11" t="s">
        <v>552</v>
      </c>
      <c r="U277" s="11" t="s">
        <v>784</v>
      </c>
      <c r="V277" s="11">
        <v>1</v>
      </c>
      <c r="W277" s="11" t="s">
        <v>1005</v>
      </c>
      <c r="X277" s="11" t="s">
        <v>261</v>
      </c>
      <c r="Y277" s="11" t="s">
        <v>261</v>
      </c>
      <c r="Z277" s="11" t="s">
        <v>261</v>
      </c>
      <c r="AA277" s="11" t="s">
        <v>583</v>
      </c>
      <c r="AB277" s="11" t="s">
        <v>261</v>
      </c>
      <c r="AC277" s="11" t="s">
        <v>261</v>
      </c>
      <c r="AD277" s="11" t="s">
        <v>1221</v>
      </c>
      <c r="AE277" s="12" t="s">
        <v>261</v>
      </c>
      <c r="AF277" s="11" t="s">
        <v>261</v>
      </c>
    </row>
    <row r="278" spans="1:32" ht="30" x14ac:dyDescent="0.25">
      <c r="A278" s="11">
        <v>1</v>
      </c>
      <c r="B278" s="11">
        <v>221245</v>
      </c>
      <c r="C278" s="11" t="s">
        <v>1068</v>
      </c>
      <c r="D278" s="11" t="str">
        <f>MID(Table22[[#This Row],[تاريخ تاييد]],1,7)</f>
        <v>1404/07</v>
      </c>
      <c r="E278" s="11" t="str">
        <f>MID(Table22[[#This Row],[تاريخ تاييد]],6,2)</f>
        <v>07</v>
      </c>
      <c r="F278" s="11" t="str">
        <f>LEFT(Table22[[#This Row],[تاريخ تاييد]],4)</f>
        <v>1404</v>
      </c>
      <c r="G278" s="11" t="str">
        <f>VLOOKUP(Table22[[#This Row],[شماره فني]],Sheet7!A:C,3,0)</f>
        <v>جلو آمپر</v>
      </c>
      <c r="H278" s="11" t="str">
        <f>VLOOKUP(Table22[[#This Row],[شماره فني]],Sheet7!A:B,2,0)</f>
        <v>جلو آمپر تارا دستی SBR</v>
      </c>
      <c r="I278" s="11" t="s">
        <v>1080</v>
      </c>
      <c r="J278" s="11" t="s">
        <v>334</v>
      </c>
      <c r="K278" s="11" t="s">
        <v>261</v>
      </c>
      <c r="L278" s="11" t="s">
        <v>261</v>
      </c>
      <c r="M278" s="11" t="s">
        <v>261</v>
      </c>
      <c r="N278" s="11" t="s">
        <v>261</v>
      </c>
      <c r="O278" s="11" t="s">
        <v>261</v>
      </c>
      <c r="P278" s="11" t="s">
        <v>261</v>
      </c>
      <c r="Q278" s="11" t="s">
        <v>261</v>
      </c>
      <c r="R278" s="11" t="s">
        <v>261</v>
      </c>
      <c r="S278" s="11" t="s">
        <v>261</v>
      </c>
      <c r="T278" s="11" t="s">
        <v>1053</v>
      </c>
      <c r="U278" s="11" t="s">
        <v>1053</v>
      </c>
      <c r="V278" s="11">
        <v>1</v>
      </c>
      <c r="W278" s="11" t="s">
        <v>1005</v>
      </c>
      <c r="X278" s="11" t="s">
        <v>261</v>
      </c>
      <c r="Y278" s="11" t="s">
        <v>261</v>
      </c>
      <c r="Z278" s="11" t="s">
        <v>261</v>
      </c>
      <c r="AA278" s="11" t="s">
        <v>583</v>
      </c>
      <c r="AB278" s="11" t="s">
        <v>261</v>
      </c>
      <c r="AC278" s="11" t="s">
        <v>261</v>
      </c>
      <c r="AD278" s="11" t="s">
        <v>1221</v>
      </c>
      <c r="AE278" s="12" t="s">
        <v>261</v>
      </c>
      <c r="AF278" s="11" t="s">
        <v>261</v>
      </c>
    </row>
    <row r="279" spans="1:32" ht="30" x14ac:dyDescent="0.25">
      <c r="A279" s="11">
        <v>1</v>
      </c>
      <c r="B279" s="11">
        <v>213898</v>
      </c>
      <c r="C279" s="11" t="s">
        <v>870</v>
      </c>
      <c r="D279" s="11" t="str">
        <f>MID(Table22[[#This Row],[تاريخ تاييد]],1,7)</f>
        <v>1404/03</v>
      </c>
      <c r="E279" s="11" t="str">
        <f>MID(Table22[[#This Row],[تاريخ تاييد]],6,2)</f>
        <v>03</v>
      </c>
      <c r="F279" s="11" t="str">
        <f>LEFT(Table22[[#This Row],[تاريخ تاييد]],4)</f>
        <v>1404</v>
      </c>
      <c r="G279" s="11" t="str">
        <f>VLOOKUP(Table22[[#This Row],[شماره فني]],Sheet7!A:C,3,0)</f>
        <v>NOD</v>
      </c>
      <c r="H279" s="11" t="str">
        <f>VLOOKUP(Table22[[#This Row],[شماره فني]],Sheet7!A:B,2,0)</f>
        <v>NBCM DENA</v>
      </c>
      <c r="I279" s="11" t="s">
        <v>874</v>
      </c>
      <c r="J279" s="11" t="s">
        <v>1098</v>
      </c>
      <c r="K279" s="11" t="s">
        <v>22</v>
      </c>
      <c r="L279" s="11" t="s">
        <v>1102</v>
      </c>
      <c r="M279" s="11" t="s">
        <v>261</v>
      </c>
      <c r="N279" s="11" t="s">
        <v>261</v>
      </c>
      <c r="O279" s="11" t="s">
        <v>261</v>
      </c>
      <c r="P279" s="11" t="s">
        <v>261</v>
      </c>
      <c r="Q279" s="11" t="s">
        <v>1099</v>
      </c>
      <c r="R279" s="11" t="s">
        <v>1099</v>
      </c>
      <c r="S279" s="11" t="s">
        <v>1100</v>
      </c>
      <c r="T279" s="11" t="s">
        <v>1178</v>
      </c>
      <c r="U279" s="11" t="s">
        <v>1101</v>
      </c>
      <c r="V279" s="11">
        <v>1</v>
      </c>
      <c r="W279" s="11" t="s">
        <v>16</v>
      </c>
      <c r="X279" s="11" t="s">
        <v>261</v>
      </c>
      <c r="Y279" s="11" t="s">
        <v>1102</v>
      </c>
      <c r="Z279" s="11" t="s">
        <v>66</v>
      </c>
      <c r="AA279" s="11" t="s">
        <v>29</v>
      </c>
      <c r="AB279" s="11" t="s">
        <v>261</v>
      </c>
      <c r="AC279" s="11" t="s">
        <v>261</v>
      </c>
      <c r="AD279" s="11" t="s">
        <v>1221</v>
      </c>
      <c r="AE279" s="12" t="s">
        <v>261</v>
      </c>
      <c r="AF279" s="11" t="s">
        <v>261</v>
      </c>
    </row>
    <row r="280" spans="1:32" ht="30" x14ac:dyDescent="0.25">
      <c r="A280" s="11">
        <v>1</v>
      </c>
      <c r="B280" s="11">
        <v>213370</v>
      </c>
      <c r="C280" s="11" t="s">
        <v>860</v>
      </c>
      <c r="D280" s="11" t="str">
        <f>MID(Table22[[#This Row],[تاريخ تاييد]],1,7)</f>
        <v>1404/02</v>
      </c>
      <c r="E280" s="11" t="str">
        <f>MID(Table22[[#This Row],[تاريخ تاييد]],6,2)</f>
        <v>02</v>
      </c>
      <c r="F280" s="11" t="str">
        <f>LEFT(Table22[[#This Row],[تاريخ تاييد]],4)</f>
        <v>1404</v>
      </c>
      <c r="G280" s="11" t="str">
        <f>VLOOKUP(Table22[[#This Row],[شماره فني]],Sheet7!A:C,3,0)</f>
        <v>NOD</v>
      </c>
      <c r="H280" s="11" t="str">
        <f>VLOOKUP(Table22[[#This Row],[شماره فني]],Sheet7!A:B,2,0)</f>
        <v>NBCM TARA SAL</v>
      </c>
      <c r="I280" s="11" t="s">
        <v>863</v>
      </c>
      <c r="J280" s="11" t="s">
        <v>1098</v>
      </c>
      <c r="K280" s="11" t="s">
        <v>261</v>
      </c>
      <c r="L280" s="11" t="s">
        <v>261</v>
      </c>
      <c r="M280" s="11" t="s">
        <v>261</v>
      </c>
      <c r="N280" s="11" t="s">
        <v>261</v>
      </c>
      <c r="O280" s="11" t="s">
        <v>261</v>
      </c>
      <c r="P280" s="11" t="s">
        <v>261</v>
      </c>
      <c r="Q280" s="11" t="s">
        <v>261</v>
      </c>
      <c r="R280" s="11" t="s">
        <v>261</v>
      </c>
      <c r="S280" s="11" t="s">
        <v>261</v>
      </c>
      <c r="T280" s="11" t="s">
        <v>552</v>
      </c>
      <c r="U280" s="11" t="s">
        <v>784</v>
      </c>
      <c r="V280" s="11">
        <v>3</v>
      </c>
      <c r="W280" s="11" t="s">
        <v>95</v>
      </c>
      <c r="X280" s="11" t="s">
        <v>261</v>
      </c>
      <c r="Y280" s="11" t="s">
        <v>261</v>
      </c>
      <c r="Z280" s="11" t="s">
        <v>261</v>
      </c>
      <c r="AA280" s="11" t="s">
        <v>583</v>
      </c>
      <c r="AB280" s="11" t="s">
        <v>261</v>
      </c>
      <c r="AC280" s="11" t="s">
        <v>261</v>
      </c>
      <c r="AD280" s="11" t="s">
        <v>1221</v>
      </c>
      <c r="AE280" s="12" t="s">
        <v>261</v>
      </c>
      <c r="AF280" s="11" t="s">
        <v>261</v>
      </c>
    </row>
    <row r="281" spans="1:32" ht="30" x14ac:dyDescent="0.25">
      <c r="A281" s="11">
        <v>1</v>
      </c>
      <c r="B281" s="11">
        <v>222256</v>
      </c>
      <c r="C281" s="11" t="s">
        <v>1110</v>
      </c>
      <c r="D281" s="11" t="str">
        <f>MID(Table22[[#This Row],[تاريخ تاييد]],1,7)</f>
        <v>1404/08</v>
      </c>
      <c r="E281" s="11" t="str">
        <f>MID(Table22[[#This Row],[تاريخ تاييد]],6,2)</f>
        <v>08</v>
      </c>
      <c r="F281" s="11" t="str">
        <f>LEFT(Table22[[#This Row],[تاريخ تاييد]],4)</f>
        <v>1404</v>
      </c>
      <c r="G281" s="11" t="str">
        <f>VLOOKUP(Table22[[#This Row],[شماره فني]],Sheet7!A:C,3,0)</f>
        <v>NOD</v>
      </c>
      <c r="H281" s="11" t="str">
        <f>VLOOKUP(Table22[[#This Row],[شماره فني]],Sheet7!A:B,2,0)</f>
        <v>NBCM TARA SAL SBR</v>
      </c>
      <c r="I281" s="11" t="s">
        <v>1117</v>
      </c>
      <c r="J281" s="11" t="s">
        <v>865</v>
      </c>
      <c r="K281" s="11" t="s">
        <v>22</v>
      </c>
      <c r="L281" s="11" t="s">
        <v>1056</v>
      </c>
      <c r="M281" s="11" t="s">
        <v>261</v>
      </c>
      <c r="N281" s="11" t="s">
        <v>261</v>
      </c>
      <c r="O281" s="11" t="s">
        <v>261</v>
      </c>
      <c r="P281" s="11" t="s">
        <v>261</v>
      </c>
      <c r="Q281" s="11" t="s">
        <v>1057</v>
      </c>
      <c r="R281" s="11" t="s">
        <v>954</v>
      </c>
      <c r="S281" s="11" t="s">
        <v>818</v>
      </c>
      <c r="T281" s="11" t="s">
        <v>824</v>
      </c>
      <c r="U281" s="11" t="s">
        <v>1058</v>
      </c>
      <c r="V281" s="11">
        <v>2</v>
      </c>
      <c r="W281" s="11" t="s">
        <v>1002</v>
      </c>
      <c r="X281" s="11" t="s">
        <v>261</v>
      </c>
      <c r="Y281" s="11" t="s">
        <v>1056</v>
      </c>
      <c r="Z281" s="11" t="s">
        <v>66</v>
      </c>
      <c r="AA281" s="11" t="s">
        <v>26</v>
      </c>
      <c r="AB281" s="11" t="s">
        <v>261</v>
      </c>
      <c r="AC281" s="11" t="s">
        <v>261</v>
      </c>
      <c r="AD281" s="11" t="s">
        <v>1221</v>
      </c>
      <c r="AE281" s="12" t="s">
        <v>261</v>
      </c>
      <c r="AF281" s="11" t="s">
        <v>261</v>
      </c>
    </row>
    <row r="282" spans="1:32" ht="30" x14ac:dyDescent="0.25">
      <c r="A282" s="11">
        <v>1</v>
      </c>
      <c r="B282" s="11">
        <v>212020</v>
      </c>
      <c r="C282" s="11" t="s">
        <v>713</v>
      </c>
      <c r="D282" s="11" t="str">
        <f>MID(Table22[[#This Row],[تاريخ تاييد]],1,7)</f>
        <v>1404/02</v>
      </c>
      <c r="E282" s="11" t="str">
        <f>MID(Table22[[#This Row],[تاريخ تاييد]],6,2)</f>
        <v>02</v>
      </c>
      <c r="F282" s="11" t="str">
        <f>LEFT(Table22[[#This Row],[تاريخ تاييد]],4)</f>
        <v>1404</v>
      </c>
      <c r="G282" s="11" t="str">
        <f>VLOOKUP(Table22[[#This Row],[شماره فني]],Sheet7!A:C,3,0)</f>
        <v>NOD</v>
      </c>
      <c r="H282" s="11" t="str">
        <f>VLOOKUP(Table22[[#This Row],[شماره فني]],Sheet7!A:B,2,0)</f>
        <v>NBCM 207</v>
      </c>
      <c r="I282" s="11" t="s">
        <v>720</v>
      </c>
      <c r="J282" s="11" t="s">
        <v>233</v>
      </c>
      <c r="K282" s="11" t="s">
        <v>23</v>
      </c>
      <c r="L282" s="11" t="s">
        <v>1056</v>
      </c>
      <c r="M282" s="11" t="s">
        <v>23</v>
      </c>
      <c r="N282" s="11" t="s">
        <v>1063</v>
      </c>
      <c r="O282" s="11" t="s">
        <v>261</v>
      </c>
      <c r="P282" s="11" t="s">
        <v>261</v>
      </c>
      <c r="Q282" s="11" t="s">
        <v>261</v>
      </c>
      <c r="R282" s="11" t="s">
        <v>261</v>
      </c>
      <c r="S282" s="11" t="s">
        <v>261</v>
      </c>
      <c r="T282" s="11" t="s">
        <v>755</v>
      </c>
      <c r="U282" s="11" t="s">
        <v>553</v>
      </c>
      <c r="V282" s="11">
        <v>1</v>
      </c>
      <c r="W282" s="11" t="s">
        <v>19</v>
      </c>
      <c r="X282" s="11" t="s">
        <v>261</v>
      </c>
      <c r="Y282" s="11" t="s">
        <v>1056</v>
      </c>
      <c r="Z282" s="11" t="s">
        <v>66</v>
      </c>
      <c r="AA282" s="11" t="s">
        <v>583</v>
      </c>
      <c r="AB282" s="11" t="s">
        <v>261</v>
      </c>
      <c r="AC282" s="11" t="s">
        <v>261</v>
      </c>
      <c r="AD282" s="11" t="s">
        <v>1221</v>
      </c>
      <c r="AE282" s="12" t="s">
        <v>261</v>
      </c>
      <c r="AF282" s="11" t="s">
        <v>261</v>
      </c>
    </row>
    <row r="283" spans="1:32" ht="30" x14ac:dyDescent="0.25">
      <c r="A283" s="11">
        <v>1</v>
      </c>
      <c r="B283" s="11">
        <v>212975</v>
      </c>
      <c r="C283" s="11" t="s">
        <v>847</v>
      </c>
      <c r="D283" s="11" t="str">
        <f>MID(Table22[[#This Row],[تاريخ تاييد]],1,7)</f>
        <v>1404/02</v>
      </c>
      <c r="E283" s="11" t="str">
        <f>MID(Table22[[#This Row],[تاريخ تاييد]],6,2)</f>
        <v>02</v>
      </c>
      <c r="F283" s="11" t="str">
        <f>LEFT(Table22[[#This Row],[تاريخ تاييد]],4)</f>
        <v>1404</v>
      </c>
      <c r="G283" s="11" t="str">
        <f>VLOOKUP(Table22[[#This Row],[شماره فني]],Sheet7!A:C,3,0)</f>
        <v>NOD</v>
      </c>
      <c r="H283" s="11" t="str">
        <f>VLOOKUP(Table22[[#This Row],[شماره فني]],Sheet7!A:B,2,0)</f>
        <v>NBCM 207</v>
      </c>
      <c r="I283" s="11" t="s">
        <v>850</v>
      </c>
      <c r="J283" s="11" t="s">
        <v>724</v>
      </c>
      <c r="K283" s="11" t="s">
        <v>22</v>
      </c>
      <c r="L283" s="11" t="s">
        <v>1056</v>
      </c>
      <c r="M283" s="11" t="s">
        <v>261</v>
      </c>
      <c r="N283" s="11" t="s">
        <v>261</v>
      </c>
      <c r="O283" s="11" t="s">
        <v>261</v>
      </c>
      <c r="P283" s="11" t="s">
        <v>261</v>
      </c>
      <c r="Q283" s="11" t="s">
        <v>1062</v>
      </c>
      <c r="R283" s="11" t="s">
        <v>797</v>
      </c>
      <c r="S283" s="11" t="s">
        <v>922</v>
      </c>
      <c r="T283" s="11" t="s">
        <v>797</v>
      </c>
      <c r="U283" s="11" t="s">
        <v>561</v>
      </c>
      <c r="V283" s="11">
        <v>4</v>
      </c>
      <c r="W283" s="11" t="s">
        <v>19</v>
      </c>
      <c r="X283" s="11" t="s">
        <v>261</v>
      </c>
      <c r="Y283" s="11" t="s">
        <v>1056</v>
      </c>
      <c r="Z283" s="11" t="s">
        <v>66</v>
      </c>
      <c r="AA283" s="11" t="s">
        <v>28</v>
      </c>
      <c r="AB283" s="11" t="s">
        <v>261</v>
      </c>
      <c r="AC283" s="11" t="s">
        <v>261</v>
      </c>
      <c r="AD283" s="11" t="s">
        <v>1221</v>
      </c>
      <c r="AE283" s="12" t="s">
        <v>261</v>
      </c>
      <c r="AF283" s="11" t="s">
        <v>261</v>
      </c>
    </row>
    <row r="284" spans="1:32" ht="30" x14ac:dyDescent="0.25">
      <c r="A284" s="11">
        <v>1</v>
      </c>
      <c r="B284" s="11">
        <v>216464</v>
      </c>
      <c r="C284" s="11" t="s">
        <v>928</v>
      </c>
      <c r="D284" s="11" t="str">
        <f>MID(Table22[[#This Row],[تاريخ تاييد]],1,7)</f>
        <v>1404/05</v>
      </c>
      <c r="E284" s="11" t="str">
        <f>MID(Table22[[#This Row],[تاريخ تاييد]],6,2)</f>
        <v>05</v>
      </c>
      <c r="F284" s="11" t="str">
        <f>LEFT(Table22[[#This Row],[تاريخ تاييد]],4)</f>
        <v>1404</v>
      </c>
      <c r="G284" s="11" t="str">
        <f>VLOOKUP(Table22[[#This Row],[شماره فني]],Sheet7!A:C,3,0)</f>
        <v>NOD</v>
      </c>
      <c r="H284" s="11" t="str">
        <f>VLOOKUP(Table22[[#This Row],[شماره فني]],Sheet7!A:B,2,0)</f>
        <v>NBCM 207</v>
      </c>
      <c r="I284" s="11" t="s">
        <v>933</v>
      </c>
      <c r="J284" s="11" t="s">
        <v>865</v>
      </c>
      <c r="K284" s="11" t="s">
        <v>22</v>
      </c>
      <c r="L284" s="11" t="s">
        <v>1056</v>
      </c>
      <c r="M284" s="11" t="s">
        <v>261</v>
      </c>
      <c r="N284" s="11" t="s">
        <v>261</v>
      </c>
      <c r="O284" s="11" t="s">
        <v>261</v>
      </c>
      <c r="P284" s="11" t="s">
        <v>261</v>
      </c>
      <c r="Q284" s="11" t="s">
        <v>1061</v>
      </c>
      <c r="R284" s="11" t="s">
        <v>261</v>
      </c>
      <c r="S284" s="11" t="s">
        <v>261</v>
      </c>
      <c r="T284" s="11" t="s">
        <v>755</v>
      </c>
      <c r="U284" s="11" t="s">
        <v>553</v>
      </c>
      <c r="V284" s="11">
        <v>1</v>
      </c>
      <c r="W284" s="11" t="s">
        <v>19</v>
      </c>
      <c r="X284" s="11" t="s">
        <v>261</v>
      </c>
      <c r="Y284" s="11" t="s">
        <v>1056</v>
      </c>
      <c r="Z284" s="11" t="s">
        <v>66</v>
      </c>
      <c r="AA284" s="11" t="s">
        <v>583</v>
      </c>
      <c r="AB284" s="11" t="s">
        <v>261</v>
      </c>
      <c r="AC284" s="11" t="s">
        <v>261</v>
      </c>
      <c r="AD284" s="11" t="s">
        <v>1221</v>
      </c>
      <c r="AE284" s="12" t="s">
        <v>261</v>
      </c>
      <c r="AF284" s="11" t="s">
        <v>261</v>
      </c>
    </row>
    <row r="285" spans="1:32" ht="30" x14ac:dyDescent="0.25">
      <c r="A285" s="11">
        <v>1</v>
      </c>
      <c r="B285" s="11">
        <v>214661</v>
      </c>
      <c r="C285" s="11" t="s">
        <v>883</v>
      </c>
      <c r="D285" s="11" t="str">
        <f>MID(Table22[[#This Row],[تاريخ تاييد]],1,7)</f>
        <v>1404/03</v>
      </c>
      <c r="E285" s="11" t="str">
        <f>MID(Table22[[#This Row],[تاريخ تاييد]],6,2)</f>
        <v>03</v>
      </c>
      <c r="F285" s="11" t="str">
        <f>LEFT(Table22[[#This Row],[تاريخ تاييد]],4)</f>
        <v>1404</v>
      </c>
      <c r="G285" s="11" t="str">
        <f>VLOOKUP(Table22[[#This Row],[شماره فني]],Sheet7!A:C,3,0)</f>
        <v>NOD</v>
      </c>
      <c r="H285" s="11" t="str">
        <f>VLOOKUP(Table22[[#This Row],[شماره فني]],Sheet7!A:B,2,0)</f>
        <v>NBCM DENA SBR</v>
      </c>
      <c r="I285" s="11" t="s">
        <v>887</v>
      </c>
      <c r="J285" s="11" t="s">
        <v>865</v>
      </c>
      <c r="K285" s="11" t="s">
        <v>22</v>
      </c>
      <c r="L285" s="11" t="s">
        <v>1056</v>
      </c>
      <c r="M285" s="11" t="s">
        <v>261</v>
      </c>
      <c r="N285" s="11" t="s">
        <v>261</v>
      </c>
      <c r="O285" s="11" t="s">
        <v>261</v>
      </c>
      <c r="P285" s="11" t="s">
        <v>261</v>
      </c>
      <c r="Q285" s="12" t="s">
        <v>1059</v>
      </c>
      <c r="R285" s="11" t="s">
        <v>824</v>
      </c>
      <c r="S285" s="11" t="s">
        <v>1060</v>
      </c>
      <c r="T285" s="11" t="s">
        <v>824</v>
      </c>
      <c r="U285" s="12" t="s">
        <v>1059</v>
      </c>
      <c r="V285" s="11">
        <v>1</v>
      </c>
      <c r="W285" s="11" t="s">
        <v>702</v>
      </c>
      <c r="X285" s="11" t="s">
        <v>261</v>
      </c>
      <c r="Y285" s="11" t="s">
        <v>1056</v>
      </c>
      <c r="Z285" s="11" t="s">
        <v>66</v>
      </c>
      <c r="AA285" s="11" t="s">
        <v>27</v>
      </c>
      <c r="AB285" s="11" t="s">
        <v>261</v>
      </c>
      <c r="AC285" s="11" t="s">
        <v>261</v>
      </c>
      <c r="AD285" s="11" t="s">
        <v>1221</v>
      </c>
      <c r="AE285" s="12" t="s">
        <v>261</v>
      </c>
      <c r="AF285" s="11" t="s">
        <v>261</v>
      </c>
    </row>
    <row r="286" spans="1:32" ht="30" x14ac:dyDescent="0.25">
      <c r="A286" s="11">
        <v>1</v>
      </c>
      <c r="B286" s="11">
        <v>219890</v>
      </c>
      <c r="C286" s="11" t="s">
        <v>1035</v>
      </c>
      <c r="D286" s="11" t="str">
        <f>MID(Table22[[#This Row],[تاريخ تاييد]],1,7)</f>
        <v>1404/07</v>
      </c>
      <c r="E286" s="11" t="str">
        <f>MID(Table22[[#This Row],[تاريخ تاييد]],6,2)</f>
        <v>07</v>
      </c>
      <c r="F286" s="11" t="str">
        <f>LEFT(Table22[[#This Row],[تاريخ تاييد]],4)</f>
        <v>1404</v>
      </c>
      <c r="G286" s="11" t="str">
        <f>VLOOKUP(Table22[[#This Row],[شماره فني]],Sheet7!A:C,3,0)</f>
        <v>NOD</v>
      </c>
      <c r="H286" s="11" t="str">
        <f>VLOOKUP(Table22[[#This Row],[شماره فني]],Sheet7!A:B,2,0)</f>
        <v>NBCM DENA SBR</v>
      </c>
      <c r="I286" s="11" t="s">
        <v>1043</v>
      </c>
      <c r="J286" s="11" t="s">
        <v>1135</v>
      </c>
      <c r="K286" s="11" t="s">
        <v>261</v>
      </c>
      <c r="L286" s="11" t="s">
        <v>261</v>
      </c>
      <c r="M286" s="11" t="s">
        <v>261</v>
      </c>
      <c r="N286" s="11" t="s">
        <v>261</v>
      </c>
      <c r="O286" s="11" t="s">
        <v>261</v>
      </c>
      <c r="P286" s="11" t="s">
        <v>261</v>
      </c>
      <c r="Q286" s="11" t="s">
        <v>261</v>
      </c>
      <c r="R286" s="11" t="s">
        <v>261</v>
      </c>
      <c r="S286" s="11" t="s">
        <v>261</v>
      </c>
      <c r="T286" s="11" t="s">
        <v>552</v>
      </c>
      <c r="U286" s="11" t="s">
        <v>784</v>
      </c>
      <c r="V286" s="11">
        <v>1</v>
      </c>
      <c r="W286" s="11" t="s">
        <v>702</v>
      </c>
      <c r="X286" s="11" t="s">
        <v>261</v>
      </c>
      <c r="Y286" s="11" t="s">
        <v>261</v>
      </c>
      <c r="Z286" s="11" t="s">
        <v>261</v>
      </c>
      <c r="AA286" s="11" t="s">
        <v>583</v>
      </c>
      <c r="AB286" s="11" t="s">
        <v>261</v>
      </c>
      <c r="AC286" s="11" t="s">
        <v>261</v>
      </c>
      <c r="AD286" s="11" t="s">
        <v>1221</v>
      </c>
      <c r="AE286" s="12" t="s">
        <v>261</v>
      </c>
      <c r="AF286" s="11" t="s">
        <v>261</v>
      </c>
    </row>
    <row r="287" spans="1:32" ht="30" x14ac:dyDescent="0.25">
      <c r="A287" s="11">
        <v>1</v>
      </c>
      <c r="B287" s="11">
        <v>222129</v>
      </c>
      <c r="C287" s="11" t="s">
        <v>1111</v>
      </c>
      <c r="D287" s="11" t="str">
        <f>MID(Table22[[#This Row],[تاريخ تاييد]],1,7)</f>
        <v>1404/08</v>
      </c>
      <c r="E287" s="11" t="str">
        <f>MID(Table22[[#This Row],[تاريخ تاييد]],6,2)</f>
        <v>08</v>
      </c>
      <c r="F287" s="11" t="str">
        <f>LEFT(Table22[[#This Row],[تاريخ تاييد]],4)</f>
        <v>1404</v>
      </c>
      <c r="G287" s="11" t="str">
        <f>VLOOKUP(Table22[[#This Row],[شماره فني]],Sheet7!A:C,3,0)</f>
        <v>NOD</v>
      </c>
      <c r="H287" s="11" t="str">
        <f>VLOOKUP(Table22[[#This Row],[شماره فني]],Sheet7!A:B,2,0)</f>
        <v>SBM 207 SBR</v>
      </c>
      <c r="I287" s="11" t="s">
        <v>1116</v>
      </c>
      <c r="J287" s="11" t="s">
        <v>231</v>
      </c>
      <c r="K287" s="11" t="s">
        <v>261</v>
      </c>
      <c r="L287" s="11" t="s">
        <v>261</v>
      </c>
      <c r="M287" s="11" t="s">
        <v>261</v>
      </c>
      <c r="N287" s="11" t="s">
        <v>261</v>
      </c>
      <c r="O287" s="11" t="s">
        <v>261</v>
      </c>
      <c r="P287" s="11" t="s">
        <v>261</v>
      </c>
      <c r="Q287" s="11" t="s">
        <v>261</v>
      </c>
      <c r="R287" s="11" t="s">
        <v>261</v>
      </c>
      <c r="S287" s="11" t="s">
        <v>261</v>
      </c>
      <c r="T287" s="11" t="s">
        <v>552</v>
      </c>
      <c r="U287" s="11" t="s">
        <v>784</v>
      </c>
      <c r="V287" s="11">
        <v>1</v>
      </c>
      <c r="W287" s="11" t="s">
        <v>1070</v>
      </c>
      <c r="X287" s="11" t="s">
        <v>261</v>
      </c>
      <c r="Y287" s="11" t="s">
        <v>261</v>
      </c>
      <c r="Z287" s="11" t="s">
        <v>261</v>
      </c>
      <c r="AA287" s="11" t="s">
        <v>583</v>
      </c>
      <c r="AB287" s="11" t="s">
        <v>261</v>
      </c>
      <c r="AC287" s="11" t="s">
        <v>261</v>
      </c>
      <c r="AD287" s="11" t="s">
        <v>1221</v>
      </c>
      <c r="AE287" s="12" t="s">
        <v>261</v>
      </c>
      <c r="AF287" s="11" t="s">
        <v>261</v>
      </c>
    </row>
    <row r="288" spans="1:32" ht="30" x14ac:dyDescent="0.25">
      <c r="A288" s="11">
        <v>1</v>
      </c>
      <c r="B288" s="11">
        <v>214660</v>
      </c>
      <c r="C288" s="11" t="s">
        <v>883</v>
      </c>
      <c r="D288" s="11" t="str">
        <f>MID(Table22[[#This Row],[تاريخ تاييد]],1,7)</f>
        <v>1404/03</v>
      </c>
      <c r="E288" s="11" t="str">
        <f>MID(Table22[[#This Row],[تاريخ تاييد]],6,2)</f>
        <v>03</v>
      </c>
      <c r="F288" s="11" t="str">
        <f>LEFT(Table22[[#This Row],[تاريخ تاييد]],4)</f>
        <v>1404</v>
      </c>
      <c r="G288" s="11" t="str">
        <f>VLOOKUP(Table22[[#This Row],[شماره فني]],Sheet7!A:C,3,0)</f>
        <v>NOD</v>
      </c>
      <c r="H288" s="11" t="str">
        <f>VLOOKUP(Table22[[#This Row],[شماره فني]],Sheet7!A:B,2,0)</f>
        <v>NBCM TARA SAL</v>
      </c>
      <c r="I288" s="11" t="s">
        <v>886</v>
      </c>
      <c r="J288" s="11" t="s">
        <v>1135</v>
      </c>
      <c r="K288" s="11" t="s">
        <v>261</v>
      </c>
      <c r="L288" s="11" t="s">
        <v>261</v>
      </c>
      <c r="M288" s="11" t="s">
        <v>261</v>
      </c>
      <c r="N288" s="11" t="s">
        <v>261</v>
      </c>
      <c r="O288" s="11" t="s">
        <v>261</v>
      </c>
      <c r="P288" s="11" t="s">
        <v>261</v>
      </c>
      <c r="Q288" s="11" t="s">
        <v>261</v>
      </c>
      <c r="R288" s="11" t="s">
        <v>261</v>
      </c>
      <c r="S288" s="11" t="s">
        <v>261</v>
      </c>
      <c r="T288" s="11" t="s">
        <v>552</v>
      </c>
      <c r="U288" s="11" t="s">
        <v>784</v>
      </c>
      <c r="V288" s="11">
        <v>1</v>
      </c>
      <c r="W288" s="11" t="s">
        <v>95</v>
      </c>
      <c r="X288" s="11" t="s">
        <v>261</v>
      </c>
      <c r="Y288" s="11" t="s">
        <v>261</v>
      </c>
      <c r="Z288" s="11" t="s">
        <v>261</v>
      </c>
      <c r="AA288" s="11" t="s">
        <v>583</v>
      </c>
      <c r="AB288" s="11" t="s">
        <v>261</v>
      </c>
      <c r="AC288" s="11" t="s">
        <v>261</v>
      </c>
      <c r="AD288" s="11" t="s">
        <v>1221</v>
      </c>
      <c r="AE288" s="12" t="s">
        <v>261</v>
      </c>
      <c r="AF288" s="11" t="s">
        <v>261</v>
      </c>
    </row>
    <row r="289" spans="1:32" ht="30" x14ac:dyDescent="0.25">
      <c r="A289" s="11">
        <v>1</v>
      </c>
      <c r="B289" s="11">
        <v>215885</v>
      </c>
      <c r="C289" s="11" t="s">
        <v>916</v>
      </c>
      <c r="D289" s="11" t="str">
        <f>MID(Table22[[#This Row],[تاريخ تاييد]],1,7)</f>
        <v>1404/04</v>
      </c>
      <c r="E289" s="11" t="str">
        <f>MID(Table22[[#This Row],[تاريخ تاييد]],6,2)</f>
        <v>04</v>
      </c>
      <c r="F289" s="11" t="str">
        <f>LEFT(Table22[[#This Row],[تاريخ تاييد]],4)</f>
        <v>1404</v>
      </c>
      <c r="G289" s="11" t="str">
        <f>VLOOKUP(Table22[[#This Row],[شماره فني]],Sheet7!A:C,3,0)</f>
        <v>NOD</v>
      </c>
      <c r="H289" s="11" t="str">
        <f>VLOOKUP(Table22[[#This Row],[شماره فني]],Sheet7!A:B,2,0)</f>
        <v>NBCM TARA SAL</v>
      </c>
      <c r="I289" s="11" t="s">
        <v>909</v>
      </c>
      <c r="J289" s="11" t="s">
        <v>231</v>
      </c>
      <c r="K289" s="11" t="s">
        <v>261</v>
      </c>
      <c r="L289" s="11" t="s">
        <v>261</v>
      </c>
      <c r="M289" s="11" t="s">
        <v>261</v>
      </c>
      <c r="N289" s="11" t="s">
        <v>261</v>
      </c>
      <c r="O289" s="11" t="s">
        <v>261</v>
      </c>
      <c r="P289" s="11" t="s">
        <v>261</v>
      </c>
      <c r="Q289" s="11" t="s">
        <v>261</v>
      </c>
      <c r="R289" s="11" t="s">
        <v>261</v>
      </c>
      <c r="S289" s="11" t="s">
        <v>261</v>
      </c>
      <c r="T289" s="11" t="s">
        <v>552</v>
      </c>
      <c r="U289" s="11" t="s">
        <v>784</v>
      </c>
      <c r="V289" s="11">
        <v>1</v>
      </c>
      <c r="W289" s="11" t="s">
        <v>95</v>
      </c>
      <c r="X289" s="11" t="s">
        <v>261</v>
      </c>
      <c r="Y289" s="11" t="s">
        <v>261</v>
      </c>
      <c r="Z289" s="11" t="s">
        <v>261</v>
      </c>
      <c r="AA289" s="11" t="s">
        <v>583</v>
      </c>
      <c r="AB289" s="11" t="s">
        <v>261</v>
      </c>
      <c r="AC289" s="11" t="s">
        <v>261</v>
      </c>
      <c r="AD289" s="11" t="s">
        <v>1221</v>
      </c>
      <c r="AE289" s="12" t="s">
        <v>261</v>
      </c>
      <c r="AF289" s="11" t="s">
        <v>261</v>
      </c>
    </row>
    <row r="290" spans="1:32" ht="30" x14ac:dyDescent="0.25">
      <c r="A290" s="11">
        <v>1</v>
      </c>
      <c r="B290" s="11">
        <v>216768</v>
      </c>
      <c r="C290" s="11" t="s">
        <v>930</v>
      </c>
      <c r="D290" s="11" t="str">
        <f>MID(Table22[[#This Row],[تاريخ تاييد]],1,7)</f>
        <v>1404/05</v>
      </c>
      <c r="E290" s="11" t="str">
        <f>MID(Table22[[#This Row],[تاريخ تاييد]],6,2)</f>
        <v>05</v>
      </c>
      <c r="F290" s="11" t="str">
        <f>LEFT(Table22[[#This Row],[تاريخ تاييد]],4)</f>
        <v>1404</v>
      </c>
      <c r="G290" s="11" t="str">
        <f>VLOOKUP(Table22[[#This Row],[شماره فني]],Sheet7!A:C,3,0)</f>
        <v>NOD</v>
      </c>
      <c r="H290" s="11" t="str">
        <f>VLOOKUP(Table22[[#This Row],[شماره فني]],Sheet7!A:B,2,0)</f>
        <v>NBCM TARA SAL</v>
      </c>
      <c r="I290" s="11" t="s">
        <v>935</v>
      </c>
      <c r="J290" s="11" t="s">
        <v>851</v>
      </c>
      <c r="K290" s="11" t="s">
        <v>261</v>
      </c>
      <c r="L290" s="11" t="s">
        <v>261</v>
      </c>
      <c r="M290" s="11" t="s">
        <v>261</v>
      </c>
      <c r="N290" s="11" t="s">
        <v>261</v>
      </c>
      <c r="O290" s="11" t="s">
        <v>261</v>
      </c>
      <c r="P290" s="11" t="s">
        <v>261</v>
      </c>
      <c r="Q290" s="11" t="s">
        <v>261</v>
      </c>
      <c r="R290" s="11" t="s">
        <v>261</v>
      </c>
      <c r="S290" s="11" t="s">
        <v>261</v>
      </c>
      <c r="T290" s="11" t="s">
        <v>552</v>
      </c>
      <c r="U290" s="11" t="s">
        <v>784</v>
      </c>
      <c r="V290" s="11">
        <v>1</v>
      </c>
      <c r="W290" s="11" t="s">
        <v>95</v>
      </c>
      <c r="X290" s="11" t="s">
        <v>261</v>
      </c>
      <c r="Y290" s="11" t="s">
        <v>261</v>
      </c>
      <c r="Z290" s="11" t="s">
        <v>261</v>
      </c>
      <c r="AA290" s="11" t="s">
        <v>583</v>
      </c>
      <c r="AB290" s="11" t="s">
        <v>261</v>
      </c>
      <c r="AC290" s="11" t="s">
        <v>261</v>
      </c>
      <c r="AD290" s="11" t="s">
        <v>1221</v>
      </c>
      <c r="AE290" s="12" t="s">
        <v>261</v>
      </c>
      <c r="AF290" s="11" t="s">
        <v>261</v>
      </c>
    </row>
    <row r="291" spans="1:32" ht="30" x14ac:dyDescent="0.25">
      <c r="A291" s="11">
        <v>1</v>
      </c>
      <c r="B291" s="11">
        <v>217569</v>
      </c>
      <c r="C291" s="11" t="s">
        <v>992</v>
      </c>
      <c r="D291" s="11" t="str">
        <f>MID(Table22[[#This Row],[تاريخ تاييد]],1,7)</f>
        <v>1404/05</v>
      </c>
      <c r="E291" s="11" t="str">
        <f>MID(Table22[[#This Row],[تاريخ تاييد]],6,2)</f>
        <v>05</v>
      </c>
      <c r="F291" s="11" t="str">
        <f>LEFT(Table22[[#This Row],[تاريخ تاييد]],4)</f>
        <v>1404</v>
      </c>
      <c r="G291" s="11" t="str">
        <f>VLOOKUP(Table22[[#This Row],[شماره فني]],Sheet7!A:C,3,0)</f>
        <v>NOD</v>
      </c>
      <c r="H291" s="11" t="str">
        <f>VLOOKUP(Table22[[#This Row],[شماره فني]],Sheet7!A:B,2,0)</f>
        <v>NBCM TARA SAL</v>
      </c>
      <c r="I291" s="11" t="s">
        <v>995</v>
      </c>
      <c r="J291" s="11" t="s">
        <v>1081</v>
      </c>
      <c r="K291" s="11" t="s">
        <v>261</v>
      </c>
      <c r="L291" s="11" t="s">
        <v>261</v>
      </c>
      <c r="M291" s="11" t="s">
        <v>261</v>
      </c>
      <c r="N291" s="11" t="s">
        <v>261</v>
      </c>
      <c r="O291" s="11" t="s">
        <v>261</v>
      </c>
      <c r="P291" s="11" t="s">
        <v>261</v>
      </c>
      <c r="Q291" s="11" t="s">
        <v>261</v>
      </c>
      <c r="R291" s="11" t="s">
        <v>261</v>
      </c>
      <c r="S291" s="11" t="s">
        <v>261</v>
      </c>
      <c r="T291" s="11" t="s">
        <v>552</v>
      </c>
      <c r="U291" s="11" t="s">
        <v>784</v>
      </c>
      <c r="V291" s="11">
        <v>1</v>
      </c>
      <c r="W291" s="11" t="s">
        <v>95</v>
      </c>
      <c r="X291" s="11" t="s">
        <v>261</v>
      </c>
      <c r="Y291" s="11" t="s">
        <v>261</v>
      </c>
      <c r="Z291" s="11" t="s">
        <v>261</v>
      </c>
      <c r="AA291" s="11" t="s">
        <v>583</v>
      </c>
      <c r="AB291" s="11" t="s">
        <v>261</v>
      </c>
      <c r="AC291" s="11" t="s">
        <v>261</v>
      </c>
      <c r="AD291" s="11" t="s">
        <v>1221</v>
      </c>
      <c r="AE291" s="12" t="s">
        <v>261</v>
      </c>
      <c r="AF291" s="11" t="s">
        <v>261</v>
      </c>
    </row>
    <row r="292" spans="1:32" ht="30" x14ac:dyDescent="0.25">
      <c r="A292" s="11">
        <v>1</v>
      </c>
      <c r="B292" s="11">
        <v>219839</v>
      </c>
      <c r="C292" s="11" t="s">
        <v>1036</v>
      </c>
      <c r="D292" s="11" t="str">
        <f>MID(Table22[[#This Row],[تاريخ تاييد]],1,7)</f>
        <v>1404/07</v>
      </c>
      <c r="E292" s="11" t="str">
        <f>MID(Table22[[#This Row],[تاريخ تاييد]],6,2)</f>
        <v>07</v>
      </c>
      <c r="F292" s="11" t="str">
        <f>LEFT(Table22[[#This Row],[تاريخ تاييد]],4)</f>
        <v>1404</v>
      </c>
      <c r="G292" s="11" t="str">
        <f>VLOOKUP(Table22[[#This Row],[شماره فني]],Sheet7!A:C,3,0)</f>
        <v>NOD</v>
      </c>
      <c r="H292" s="11" t="str">
        <f>VLOOKUP(Table22[[#This Row],[شماره فني]],Sheet7!A:B,2,0)</f>
        <v>NBCM TARA SAL SBR</v>
      </c>
      <c r="I292" s="11" t="s">
        <v>1042</v>
      </c>
      <c r="J292" s="11" t="s">
        <v>723</v>
      </c>
      <c r="K292" s="11" t="s">
        <v>261</v>
      </c>
      <c r="L292" s="11" t="s">
        <v>261</v>
      </c>
      <c r="M292" s="11" t="s">
        <v>261</v>
      </c>
      <c r="N292" s="11" t="s">
        <v>261</v>
      </c>
      <c r="O292" s="11" t="s">
        <v>261</v>
      </c>
      <c r="P292" s="11" t="s">
        <v>261</v>
      </c>
      <c r="Q292" s="11" t="s">
        <v>261</v>
      </c>
      <c r="R292" s="11" t="s">
        <v>261</v>
      </c>
      <c r="S292" s="11" t="s">
        <v>261</v>
      </c>
      <c r="T292" s="11" t="s">
        <v>552</v>
      </c>
      <c r="U292" s="11" t="s">
        <v>784</v>
      </c>
      <c r="V292" s="11">
        <v>1</v>
      </c>
      <c r="W292" s="11" t="s">
        <v>1002</v>
      </c>
      <c r="X292" s="11" t="s">
        <v>261</v>
      </c>
      <c r="Y292" s="11" t="s">
        <v>261</v>
      </c>
      <c r="Z292" s="11" t="s">
        <v>261</v>
      </c>
      <c r="AA292" s="11" t="s">
        <v>583</v>
      </c>
      <c r="AB292" s="11" t="s">
        <v>261</v>
      </c>
      <c r="AC292" s="11" t="s">
        <v>261</v>
      </c>
      <c r="AD292" s="11" t="s">
        <v>1221</v>
      </c>
      <c r="AE292" s="12" t="s">
        <v>261</v>
      </c>
      <c r="AF292" s="11" t="s">
        <v>261</v>
      </c>
    </row>
    <row r="293" spans="1:32" ht="30" x14ac:dyDescent="0.25">
      <c r="A293" s="11">
        <v>1</v>
      </c>
      <c r="B293" s="11">
        <v>220523</v>
      </c>
      <c r="C293" s="11" t="s">
        <v>1063</v>
      </c>
      <c r="D293" s="11" t="str">
        <f>MID(Table22[[#This Row],[تاريخ تاييد]],1,7)</f>
        <v>1404/07</v>
      </c>
      <c r="E293" s="11" t="str">
        <f>MID(Table22[[#This Row],[تاريخ تاييد]],6,2)</f>
        <v>07</v>
      </c>
      <c r="F293" s="11" t="str">
        <f>LEFT(Table22[[#This Row],[تاريخ تاييد]],4)</f>
        <v>1404</v>
      </c>
      <c r="G293" s="11" t="str">
        <f>VLOOKUP(Table22[[#This Row],[شماره فني]],Sheet7!A:C,3,0)</f>
        <v>NOD</v>
      </c>
      <c r="H293" s="11" t="str">
        <f>VLOOKUP(Table22[[#This Row],[شماره فني]],Sheet7!A:B,2,0)</f>
        <v>NBCM TARA SAL SBR</v>
      </c>
      <c r="I293" s="11" t="s">
        <v>1074</v>
      </c>
      <c r="J293" s="11" t="s">
        <v>723</v>
      </c>
      <c r="K293" s="11" t="s">
        <v>261</v>
      </c>
      <c r="L293" s="11" t="s">
        <v>261</v>
      </c>
      <c r="M293" s="11" t="s">
        <v>261</v>
      </c>
      <c r="N293" s="11" t="s">
        <v>261</v>
      </c>
      <c r="O293" s="11" t="s">
        <v>261</v>
      </c>
      <c r="P293" s="11" t="s">
        <v>261</v>
      </c>
      <c r="Q293" s="11" t="s">
        <v>261</v>
      </c>
      <c r="R293" s="11" t="s">
        <v>261</v>
      </c>
      <c r="S293" s="11" t="s">
        <v>261</v>
      </c>
      <c r="T293" s="11" t="s">
        <v>552</v>
      </c>
      <c r="U293" s="11" t="s">
        <v>552</v>
      </c>
      <c r="V293" s="11">
        <v>1</v>
      </c>
      <c r="W293" s="11" t="s">
        <v>1002</v>
      </c>
      <c r="X293" s="11" t="s">
        <v>261</v>
      </c>
      <c r="Y293" s="11" t="s">
        <v>261</v>
      </c>
      <c r="Z293" s="11" t="s">
        <v>261</v>
      </c>
      <c r="AA293" s="11" t="s">
        <v>583</v>
      </c>
      <c r="AB293" s="11" t="s">
        <v>261</v>
      </c>
      <c r="AC293" s="11" t="s">
        <v>261</v>
      </c>
      <c r="AD293" s="11" t="s">
        <v>1221</v>
      </c>
      <c r="AE293" s="12" t="s">
        <v>261</v>
      </c>
      <c r="AF293" s="11" t="s">
        <v>261</v>
      </c>
    </row>
    <row r="294" spans="1:32" ht="30" x14ac:dyDescent="0.25">
      <c r="A294" s="11">
        <v>1</v>
      </c>
      <c r="B294" s="11">
        <v>222386</v>
      </c>
      <c r="C294" s="11" t="s">
        <v>1112</v>
      </c>
      <c r="D294" s="11" t="str">
        <f>MID(Table22[[#This Row],[تاريخ تاييد]],1,7)</f>
        <v>1404/08</v>
      </c>
      <c r="E294" s="11" t="str">
        <f>MID(Table22[[#This Row],[تاريخ تاييد]],6,2)</f>
        <v>08</v>
      </c>
      <c r="F294" s="11" t="str">
        <f>LEFT(Table22[[#This Row],[تاريخ تاييد]],4)</f>
        <v>1404</v>
      </c>
      <c r="G294" s="11" t="str">
        <f>VLOOKUP(Table22[[#This Row],[شماره فني]],Sheet7!A:C,3,0)</f>
        <v>NOD</v>
      </c>
      <c r="H294" s="11" t="str">
        <f>VLOOKUP(Table22[[#This Row],[شماره فني]],Sheet7!A:B,2,0)</f>
        <v>NBCM TARA SAL SBR</v>
      </c>
      <c r="I294" s="11" t="s">
        <v>1118</v>
      </c>
      <c r="J294" s="11" t="s">
        <v>334</v>
      </c>
      <c r="K294" s="11" t="s">
        <v>261</v>
      </c>
      <c r="L294" s="11" t="s">
        <v>261</v>
      </c>
      <c r="M294" s="11" t="s">
        <v>261</v>
      </c>
      <c r="N294" s="11" t="s">
        <v>261</v>
      </c>
      <c r="O294" s="11" t="s">
        <v>261</v>
      </c>
      <c r="P294" s="11" t="s">
        <v>261</v>
      </c>
      <c r="Q294" s="11" t="s">
        <v>261</v>
      </c>
      <c r="R294" s="11" t="s">
        <v>261</v>
      </c>
      <c r="S294" s="11" t="s">
        <v>261</v>
      </c>
      <c r="T294" s="11" t="s">
        <v>552</v>
      </c>
      <c r="U294" s="11" t="s">
        <v>552</v>
      </c>
      <c r="V294" s="11">
        <v>1</v>
      </c>
      <c r="W294" s="11" t="s">
        <v>1002</v>
      </c>
      <c r="X294" s="11" t="s">
        <v>261</v>
      </c>
      <c r="Y294" s="11" t="s">
        <v>261</v>
      </c>
      <c r="Z294" s="11" t="s">
        <v>261</v>
      </c>
      <c r="AA294" s="11" t="s">
        <v>583</v>
      </c>
      <c r="AB294" s="11" t="s">
        <v>261</v>
      </c>
      <c r="AC294" s="11" t="s">
        <v>261</v>
      </c>
      <c r="AD294" s="11" t="s">
        <v>1221</v>
      </c>
      <c r="AE294" s="12" t="s">
        <v>261</v>
      </c>
      <c r="AF294" s="11" t="s">
        <v>261</v>
      </c>
    </row>
    <row r="295" spans="1:32" ht="30" x14ac:dyDescent="0.25">
      <c r="A295" s="11">
        <v>1</v>
      </c>
      <c r="B295" s="11">
        <v>221357</v>
      </c>
      <c r="C295" s="11" t="s">
        <v>1083</v>
      </c>
      <c r="D295" s="11" t="str">
        <f>MID(Table22[[#This Row],[تاريخ تاييد]],1,7)</f>
        <v>1404/08</v>
      </c>
      <c r="E295" s="11" t="str">
        <f>MID(Table22[[#This Row],[تاريخ تاييد]],6,2)</f>
        <v>08</v>
      </c>
      <c r="F295" s="11" t="str">
        <f>LEFT(Table22[[#This Row],[تاريخ تاييد]],4)</f>
        <v>1404</v>
      </c>
      <c r="G295" s="11" t="str">
        <f>VLOOKUP(Table22[[#This Row],[شماره فني]],Sheet7!A:C,3,0)</f>
        <v>NOD</v>
      </c>
      <c r="H295" s="11" t="str">
        <f>VLOOKUP(Table22[[#This Row],[شماره فني]],Sheet7!A:B,2,0)</f>
        <v>SBM 207 SBR</v>
      </c>
      <c r="I295" s="11" t="s">
        <v>1086</v>
      </c>
      <c r="J295" s="11" t="s">
        <v>233</v>
      </c>
      <c r="K295" s="11" t="s">
        <v>261</v>
      </c>
      <c r="L295" s="11" t="s">
        <v>261</v>
      </c>
      <c r="M295" s="11" t="s">
        <v>261</v>
      </c>
      <c r="N295" s="11" t="s">
        <v>261</v>
      </c>
      <c r="O295" s="11" t="s">
        <v>261</v>
      </c>
      <c r="P295" s="11" t="s">
        <v>261</v>
      </c>
      <c r="Q295" s="11" t="s">
        <v>261</v>
      </c>
      <c r="R295" s="11" t="s">
        <v>261</v>
      </c>
      <c r="S295" s="11" t="s">
        <v>261</v>
      </c>
      <c r="T295" s="11" t="s">
        <v>552</v>
      </c>
      <c r="U295" s="11" t="s">
        <v>552</v>
      </c>
      <c r="V295" s="11">
        <v>1</v>
      </c>
      <c r="W295" s="11" t="s">
        <v>1070</v>
      </c>
      <c r="X295" s="11" t="s">
        <v>261</v>
      </c>
      <c r="Y295" s="11" t="s">
        <v>261</v>
      </c>
      <c r="Z295" s="11" t="s">
        <v>261</v>
      </c>
      <c r="AA295" s="11" t="s">
        <v>583</v>
      </c>
      <c r="AB295" s="11" t="s">
        <v>261</v>
      </c>
      <c r="AC295" s="11" t="s">
        <v>261</v>
      </c>
      <c r="AD295" s="11" t="s">
        <v>1221</v>
      </c>
      <c r="AE295" s="12" t="s">
        <v>261</v>
      </c>
      <c r="AF295" s="11" t="s">
        <v>261</v>
      </c>
    </row>
    <row r="296" spans="1:32" ht="30" x14ac:dyDescent="0.25">
      <c r="A296" s="11">
        <v>1</v>
      </c>
      <c r="B296" s="11">
        <v>215397</v>
      </c>
      <c r="C296" s="11" t="s">
        <v>912</v>
      </c>
      <c r="D296" s="11" t="str">
        <f>MID(Table22[[#This Row],[تاريخ تاييد]],1,7)</f>
        <v>1404/04</v>
      </c>
      <c r="E296" s="11" t="str">
        <f>MID(Table22[[#This Row],[تاريخ تاييد]],6,2)</f>
        <v>04</v>
      </c>
      <c r="F296" s="11" t="str">
        <f>LEFT(Table22[[#This Row],[تاريخ تاييد]],4)</f>
        <v>1404</v>
      </c>
      <c r="G296" s="11" t="str">
        <f>VLOOKUP(Table22[[#This Row],[شماره فني]],Sheet7!A:C,3,0)</f>
        <v>NOD</v>
      </c>
      <c r="H296" s="11" t="str">
        <f>VLOOKUP(Table22[[#This Row],[شماره فني]],Sheet7!A:B,2,0)</f>
        <v>SBM 207</v>
      </c>
      <c r="I296" s="11" t="s">
        <v>905</v>
      </c>
      <c r="J296" s="11" t="s">
        <v>851</v>
      </c>
      <c r="K296" s="11" t="s">
        <v>261</v>
      </c>
      <c r="L296" s="11" t="s">
        <v>261</v>
      </c>
      <c r="M296" s="11" t="s">
        <v>261</v>
      </c>
      <c r="N296" s="11" t="s">
        <v>261</v>
      </c>
      <c r="O296" s="11" t="s">
        <v>261</v>
      </c>
      <c r="P296" s="11" t="s">
        <v>261</v>
      </c>
      <c r="Q296" s="11" t="s">
        <v>261</v>
      </c>
      <c r="R296" s="11" t="s">
        <v>261</v>
      </c>
      <c r="S296" s="11" t="s">
        <v>261</v>
      </c>
      <c r="T296" s="11" t="s">
        <v>552</v>
      </c>
      <c r="U296" s="11" t="s">
        <v>784</v>
      </c>
      <c r="V296" s="11">
        <v>1</v>
      </c>
      <c r="W296" s="11" t="s">
        <v>514</v>
      </c>
      <c r="X296" s="11" t="s">
        <v>261</v>
      </c>
      <c r="Y296" s="11" t="s">
        <v>261</v>
      </c>
      <c r="Z296" s="11" t="s">
        <v>261</v>
      </c>
      <c r="AA296" s="11" t="s">
        <v>583</v>
      </c>
      <c r="AB296" s="11" t="s">
        <v>261</v>
      </c>
      <c r="AC296" s="11" t="s">
        <v>261</v>
      </c>
      <c r="AD296" s="11" t="s">
        <v>1221</v>
      </c>
      <c r="AE296" s="12" t="s">
        <v>261</v>
      </c>
      <c r="AF296" s="11" t="s">
        <v>261</v>
      </c>
    </row>
    <row r="297" spans="1:32" ht="30" x14ac:dyDescent="0.25">
      <c r="A297" s="11">
        <v>1</v>
      </c>
      <c r="B297" s="11">
        <v>212028</v>
      </c>
      <c r="C297" s="11" t="s">
        <v>713</v>
      </c>
      <c r="D297" s="11" t="str">
        <f>MID(Table22[[#This Row],[تاريخ تاييد]],1,7)</f>
        <v>1404/02</v>
      </c>
      <c r="E297" s="11" t="str">
        <f>MID(Table22[[#This Row],[تاريخ تاييد]],6,2)</f>
        <v>02</v>
      </c>
      <c r="F297" s="11" t="str">
        <f>LEFT(Table22[[#This Row],[تاريخ تاييد]],4)</f>
        <v>1404</v>
      </c>
      <c r="G297" s="11" t="str">
        <f>VLOOKUP(Table22[[#This Row],[شماره فني]],Sheet7!A:C,3,0)</f>
        <v>NOD</v>
      </c>
      <c r="H297" s="11" t="str">
        <f>VLOOKUP(Table22[[#This Row],[شماره فني]],Sheet7!A:B,2,0)</f>
        <v>NBCM TARA SAL</v>
      </c>
      <c r="I297" s="11" t="s">
        <v>721</v>
      </c>
      <c r="J297" s="11" t="s">
        <v>233</v>
      </c>
      <c r="K297" s="11" t="s">
        <v>261</v>
      </c>
      <c r="L297" s="11" t="s">
        <v>261</v>
      </c>
      <c r="M297" s="11" t="s">
        <v>261</v>
      </c>
      <c r="N297" s="11" t="s">
        <v>261</v>
      </c>
      <c r="O297" s="11" t="s">
        <v>261</v>
      </c>
      <c r="P297" s="11" t="s">
        <v>261</v>
      </c>
      <c r="Q297" s="11" t="s">
        <v>261</v>
      </c>
      <c r="R297" s="11" t="s">
        <v>261</v>
      </c>
      <c r="S297" s="11" t="s">
        <v>261</v>
      </c>
      <c r="T297" s="11" t="s">
        <v>552</v>
      </c>
      <c r="U297" s="11" t="s">
        <v>784</v>
      </c>
      <c r="V297" s="11">
        <v>1</v>
      </c>
      <c r="W297" s="11" t="s">
        <v>95</v>
      </c>
      <c r="X297" s="11" t="s">
        <v>261</v>
      </c>
      <c r="Y297" s="11" t="s">
        <v>261</v>
      </c>
      <c r="Z297" s="11" t="s">
        <v>261</v>
      </c>
      <c r="AA297" s="11" t="s">
        <v>583</v>
      </c>
      <c r="AB297" s="11" t="s">
        <v>261</v>
      </c>
      <c r="AC297" s="11" t="s">
        <v>261</v>
      </c>
      <c r="AD297" s="11" t="s">
        <v>1221</v>
      </c>
      <c r="AE297" s="12" t="s">
        <v>261</v>
      </c>
      <c r="AF297" s="11" t="s">
        <v>261</v>
      </c>
    </row>
    <row r="298" spans="1:32" ht="30" x14ac:dyDescent="0.25">
      <c r="A298" s="11">
        <v>1</v>
      </c>
      <c r="B298" s="11">
        <v>218335</v>
      </c>
      <c r="C298" s="11" t="s">
        <v>1013</v>
      </c>
      <c r="D298" s="11" t="str">
        <f>MID(Table22[[#This Row],[تاريخ تاييد]],1,7)</f>
        <v>1404/06</v>
      </c>
      <c r="E298" s="11" t="str">
        <f>MID(Table22[[#This Row],[تاريخ تاييد]],6,2)</f>
        <v>06</v>
      </c>
      <c r="F298" s="11" t="str">
        <f>LEFT(Table22[[#This Row],[تاريخ تاييد]],4)</f>
        <v>1404</v>
      </c>
      <c r="G298" s="11" t="str">
        <f>VLOOKUP(Table22[[#This Row],[شماره فني]],Sheet7!A:C,3,0)</f>
        <v>NOD</v>
      </c>
      <c r="H298" s="11" t="str">
        <f>VLOOKUP(Table22[[#This Row],[شماره فني]],Sheet7!A:B,2,0)</f>
        <v>NBCM TARA SAL SBR</v>
      </c>
      <c r="I298" s="11" t="s">
        <v>1010</v>
      </c>
      <c r="J298" s="11" t="s">
        <v>232</v>
      </c>
      <c r="K298" s="11" t="s">
        <v>22</v>
      </c>
      <c r="L298" s="11" t="s">
        <v>1156</v>
      </c>
      <c r="M298" s="11" t="s">
        <v>261</v>
      </c>
      <c r="N298" s="11" t="s">
        <v>261</v>
      </c>
      <c r="O298" s="11" t="s">
        <v>261</v>
      </c>
      <c r="P298" s="11" t="s">
        <v>261</v>
      </c>
      <c r="Q298" s="11" t="s">
        <v>261</v>
      </c>
      <c r="R298" s="11" t="s">
        <v>261</v>
      </c>
      <c r="S298" s="11" t="s">
        <v>1161</v>
      </c>
      <c r="T298" s="11" t="s">
        <v>1164</v>
      </c>
      <c r="U298" s="11" t="s">
        <v>1162</v>
      </c>
      <c r="V298" s="11">
        <v>1</v>
      </c>
      <c r="W298" s="11" t="s">
        <v>1002</v>
      </c>
      <c r="X298" s="11" t="s">
        <v>261</v>
      </c>
      <c r="Y298" s="11" t="s">
        <v>1156</v>
      </c>
      <c r="Z298" s="11" t="s">
        <v>66</v>
      </c>
      <c r="AA298" s="11" t="s">
        <v>27</v>
      </c>
      <c r="AB298" s="11" t="s">
        <v>986</v>
      </c>
      <c r="AC298" s="11" t="s">
        <v>1163</v>
      </c>
      <c r="AD298" s="11" t="s">
        <v>1221</v>
      </c>
      <c r="AE298" s="12" t="s">
        <v>261</v>
      </c>
      <c r="AF298" s="11" t="s">
        <v>261</v>
      </c>
    </row>
    <row r="299" spans="1:32" ht="30" x14ac:dyDescent="0.25">
      <c r="A299" s="11">
        <v>1</v>
      </c>
      <c r="B299" s="11">
        <v>219133</v>
      </c>
      <c r="C299" s="11" t="s">
        <v>1025</v>
      </c>
      <c r="D299" s="11" t="str">
        <f>MID(Table22[[#This Row],[تاريخ تاييد]],1,7)</f>
        <v>1404/06</v>
      </c>
      <c r="E299" s="11" t="str">
        <f>MID(Table22[[#This Row],[تاريخ تاييد]],6,2)</f>
        <v>06</v>
      </c>
      <c r="F299" s="11" t="str">
        <f>LEFT(Table22[[#This Row],[تاريخ تاييد]],4)</f>
        <v>1404</v>
      </c>
      <c r="G299" s="11" t="str">
        <f>VLOOKUP(Table22[[#This Row],[شماره فني]],Sheet7!A:C,3,0)</f>
        <v>جلو آمپر</v>
      </c>
      <c r="H299" s="11" t="str">
        <f>VLOOKUP(Table22[[#This Row],[شماره فني]],Sheet7!A:B,2,0)</f>
        <v xml:space="preserve">جلو آمپر207  معمولی85 گانه SBR </v>
      </c>
      <c r="I299" s="11" t="s">
        <v>1029</v>
      </c>
      <c r="J299" s="11" t="s">
        <v>723</v>
      </c>
      <c r="K299" s="11" t="s">
        <v>261</v>
      </c>
      <c r="L299" s="11" t="s">
        <v>261</v>
      </c>
      <c r="M299" s="11" t="s">
        <v>261</v>
      </c>
      <c r="N299" s="11" t="s">
        <v>261</v>
      </c>
      <c r="O299" s="11" t="s">
        <v>261</v>
      </c>
      <c r="P299" s="11" t="s">
        <v>261</v>
      </c>
      <c r="Q299" s="11" t="s">
        <v>261</v>
      </c>
      <c r="R299" s="11" t="s">
        <v>261</v>
      </c>
      <c r="S299" s="11" t="s">
        <v>261</v>
      </c>
      <c r="T299" s="11" t="s">
        <v>552</v>
      </c>
      <c r="U299" s="11" t="s">
        <v>784</v>
      </c>
      <c r="V299" s="11">
        <v>2</v>
      </c>
      <c r="W299" s="11" t="s">
        <v>1027</v>
      </c>
      <c r="X299" s="11" t="s">
        <v>261</v>
      </c>
      <c r="Y299" s="11" t="s">
        <v>261</v>
      </c>
      <c r="Z299" s="11" t="s">
        <v>261</v>
      </c>
      <c r="AA299" s="11" t="s">
        <v>583</v>
      </c>
      <c r="AB299" s="11" t="s">
        <v>261</v>
      </c>
      <c r="AC299" s="11" t="s">
        <v>261</v>
      </c>
      <c r="AD299" s="11" t="s">
        <v>1221</v>
      </c>
      <c r="AE299" s="12" t="s">
        <v>261</v>
      </c>
      <c r="AF299" s="11" t="s">
        <v>261</v>
      </c>
    </row>
    <row r="300" spans="1:32" ht="30" x14ac:dyDescent="0.25">
      <c r="A300" s="11">
        <v>1</v>
      </c>
      <c r="B300" s="11">
        <v>218478</v>
      </c>
      <c r="C300" s="11" t="s">
        <v>1015</v>
      </c>
      <c r="D300" s="11" t="str">
        <f>MID(Table22[[#This Row],[تاريخ تاييد]],1,7)</f>
        <v>1404/06</v>
      </c>
      <c r="E300" s="11" t="str">
        <f>MID(Table22[[#This Row],[تاريخ تاييد]],6,2)</f>
        <v>06</v>
      </c>
      <c r="F300" s="11" t="str">
        <f>LEFT(Table22[[#This Row],[تاريخ تاييد]],4)</f>
        <v>1404</v>
      </c>
      <c r="G300" s="11" t="str">
        <f>VLOOKUP(Table22[[#This Row],[شماره فني]],Sheet7!A:C,3,0)</f>
        <v>جلو آمپر</v>
      </c>
      <c r="H300" s="11" t="str">
        <f>VLOOKUP(Table22[[#This Row],[شماره فني]],Sheet7!A:B,2,0)</f>
        <v>جلو آمپر دنا SBR</v>
      </c>
      <c r="I300" s="11" t="s">
        <v>1011</v>
      </c>
      <c r="J300" s="11" t="s">
        <v>851</v>
      </c>
      <c r="K300" s="11" t="s">
        <v>22</v>
      </c>
      <c r="L300" s="11" t="s">
        <v>1103</v>
      </c>
      <c r="M300" s="11" t="s">
        <v>261</v>
      </c>
      <c r="N300" s="11" t="s">
        <v>261</v>
      </c>
      <c r="O300" s="11" t="s">
        <v>261</v>
      </c>
      <c r="P300" s="11" t="s">
        <v>261</v>
      </c>
      <c r="Q300" s="11" t="s">
        <v>1104</v>
      </c>
      <c r="R300" s="11" t="s">
        <v>1105</v>
      </c>
      <c r="S300" s="11" t="s">
        <v>1108</v>
      </c>
      <c r="T300" s="11" t="s">
        <v>1105</v>
      </c>
      <c r="U300" s="11" t="s">
        <v>1109</v>
      </c>
      <c r="V300" s="11">
        <v>1</v>
      </c>
      <c r="W300" s="11" t="s">
        <v>1004</v>
      </c>
      <c r="X300" s="11" t="s">
        <v>261</v>
      </c>
      <c r="Y300" s="11" t="s">
        <v>1103</v>
      </c>
      <c r="Z300" s="11" t="s">
        <v>66</v>
      </c>
      <c r="AA300" s="11" t="s">
        <v>26</v>
      </c>
      <c r="AB300" s="11" t="s">
        <v>261</v>
      </c>
      <c r="AC300" s="11" t="s">
        <v>1127</v>
      </c>
      <c r="AD300" s="11" t="s">
        <v>1221</v>
      </c>
      <c r="AE300" s="12" t="s">
        <v>261</v>
      </c>
      <c r="AF300" s="11" t="s">
        <v>348</v>
      </c>
    </row>
    <row r="301" spans="1:32" ht="30" x14ac:dyDescent="0.25">
      <c r="A301" s="11">
        <v>1</v>
      </c>
      <c r="B301" s="11">
        <v>218425</v>
      </c>
      <c r="C301" s="11" t="s">
        <v>1014</v>
      </c>
      <c r="D301" s="11" t="str">
        <f>MID(Table22[[#This Row],[تاريخ تاييد]],1,7)</f>
        <v>1404/06</v>
      </c>
      <c r="E301" s="11" t="str">
        <f>MID(Table22[[#This Row],[تاريخ تاييد]],6,2)</f>
        <v>06</v>
      </c>
      <c r="F301" s="11" t="str">
        <f>LEFT(Table22[[#This Row],[تاريخ تاييد]],4)</f>
        <v>1404</v>
      </c>
      <c r="G301" s="11" t="str">
        <f>VLOOKUP(Table22[[#This Row],[شماره فني]],Sheet7!A:C,3,0)</f>
        <v>جلو آمپر</v>
      </c>
      <c r="H301" s="11" t="str">
        <f>VLOOKUP(Table22[[#This Row],[شماره فني]],Sheet7!A:B,2,0)</f>
        <v>جلو آمپر دنا SBR</v>
      </c>
      <c r="I301" s="11" t="s">
        <v>948</v>
      </c>
      <c r="J301" s="11" t="s">
        <v>232</v>
      </c>
      <c r="K301" s="11" t="s">
        <v>22</v>
      </c>
      <c r="L301" s="11" t="s">
        <v>1103</v>
      </c>
      <c r="M301" s="11" t="s">
        <v>261</v>
      </c>
      <c r="N301" s="11" t="s">
        <v>261</v>
      </c>
      <c r="O301" s="11" t="s">
        <v>261</v>
      </c>
      <c r="P301" s="11" t="s">
        <v>261</v>
      </c>
      <c r="Q301" s="11" t="s">
        <v>261</v>
      </c>
      <c r="R301" s="11" t="s">
        <v>261</v>
      </c>
      <c r="S301" s="11" t="s">
        <v>822</v>
      </c>
      <c r="T301" s="11" t="s">
        <v>797</v>
      </c>
      <c r="U301" s="11" t="s">
        <v>561</v>
      </c>
      <c r="V301" s="11">
        <v>1</v>
      </c>
      <c r="W301" s="11" t="s">
        <v>1004</v>
      </c>
      <c r="X301" s="11" t="s">
        <v>261</v>
      </c>
      <c r="Y301" s="11" t="s">
        <v>1103</v>
      </c>
      <c r="Z301" s="11" t="s">
        <v>66</v>
      </c>
      <c r="AA301" s="11" t="s">
        <v>28</v>
      </c>
      <c r="AB301" s="11" t="s">
        <v>261</v>
      </c>
      <c r="AC301" s="11" t="s">
        <v>261</v>
      </c>
      <c r="AD301" s="11" t="s">
        <v>1221</v>
      </c>
      <c r="AE301" s="12" t="s">
        <v>261</v>
      </c>
      <c r="AF301" s="11" t="s">
        <v>261</v>
      </c>
    </row>
    <row r="302" spans="1:32" ht="30" x14ac:dyDescent="0.25">
      <c r="A302" s="11">
        <v>1</v>
      </c>
      <c r="B302" s="11">
        <v>219051</v>
      </c>
      <c r="C302" s="11" t="s">
        <v>1022</v>
      </c>
      <c r="D302" s="11" t="str">
        <f>MID(Table22[[#This Row],[تاريخ تاييد]],1,7)</f>
        <v>1404/06</v>
      </c>
      <c r="E302" s="11" t="str">
        <f>MID(Table22[[#This Row],[تاريخ تاييد]],6,2)</f>
        <v>06</v>
      </c>
      <c r="F302" s="11" t="str">
        <f>LEFT(Table22[[#This Row],[تاريخ تاييد]],4)</f>
        <v>1404</v>
      </c>
      <c r="G302" s="11" t="str">
        <f>VLOOKUP(Table22[[#This Row],[شماره فني]],Sheet7!A:C,3,0)</f>
        <v>جلو آمپر</v>
      </c>
      <c r="H302" s="11" t="str">
        <f>VLOOKUP(Table22[[#This Row],[شماره فني]],Sheet7!A:B,2,0)</f>
        <v>جلو آمپر دنا SBR</v>
      </c>
      <c r="I302" s="11" t="s">
        <v>1020</v>
      </c>
      <c r="J302" s="11" t="s">
        <v>1081</v>
      </c>
      <c r="K302" s="11" t="s">
        <v>23</v>
      </c>
      <c r="L302" s="11" t="s">
        <v>1122</v>
      </c>
      <c r="M302" s="11" t="s">
        <v>23</v>
      </c>
      <c r="N302" s="11" t="s">
        <v>1143</v>
      </c>
      <c r="O302" s="11" t="s">
        <v>261</v>
      </c>
      <c r="P302" s="11" t="s">
        <v>261</v>
      </c>
      <c r="Q302" s="11" t="s">
        <v>261</v>
      </c>
      <c r="R302" s="11" t="s">
        <v>261</v>
      </c>
      <c r="S302" s="11" t="s">
        <v>261</v>
      </c>
      <c r="T302" s="11" t="s">
        <v>570</v>
      </c>
      <c r="U302" s="11" t="s">
        <v>570</v>
      </c>
      <c r="V302" s="11">
        <v>1</v>
      </c>
      <c r="W302" s="11" t="s">
        <v>1004</v>
      </c>
      <c r="X302" s="11" t="s">
        <v>261</v>
      </c>
      <c r="Y302" s="11" t="s">
        <v>1122</v>
      </c>
      <c r="Z302" s="11" t="s">
        <v>66</v>
      </c>
      <c r="AA302" s="11" t="s">
        <v>583</v>
      </c>
      <c r="AB302" s="11" t="s">
        <v>261</v>
      </c>
      <c r="AC302" s="11" t="s">
        <v>261</v>
      </c>
      <c r="AD302" s="11" t="s">
        <v>1221</v>
      </c>
      <c r="AE302" s="12" t="s">
        <v>261</v>
      </c>
      <c r="AF302" s="11" t="s">
        <v>261</v>
      </c>
    </row>
    <row r="303" spans="1:32" ht="30" x14ac:dyDescent="0.25">
      <c r="A303" s="11">
        <v>1</v>
      </c>
      <c r="B303" s="11">
        <v>211724</v>
      </c>
      <c r="C303" s="11" t="s">
        <v>711</v>
      </c>
      <c r="D303" s="11" t="str">
        <f>MID(Table22[[#This Row],[تاريخ تاييد]],1,7)</f>
        <v>1404/01</v>
      </c>
      <c r="E303" s="11" t="str">
        <f>MID(Table22[[#This Row],[تاريخ تاييد]],6,2)</f>
        <v>01</v>
      </c>
      <c r="F303" s="11" t="str">
        <f>LEFT(Table22[[#This Row],[تاريخ تاييد]],4)</f>
        <v>1404</v>
      </c>
      <c r="G303" s="11" t="str">
        <f>VLOOKUP(Table22[[#This Row],[شماره فني]],Sheet7!A:C,3,0)</f>
        <v>جلو آمپر</v>
      </c>
      <c r="H303" s="11" t="str">
        <f>VLOOKUP(Table22[[#This Row],[شماره فني]],Sheet7!A:B,2,0)</f>
        <v>جلو آمپر تارا اتوماتیک</v>
      </c>
      <c r="I303" s="11" t="s">
        <v>717</v>
      </c>
      <c r="J303" s="11" t="s">
        <v>231</v>
      </c>
      <c r="K303" s="11" t="s">
        <v>261</v>
      </c>
      <c r="L303" s="11" t="s">
        <v>261</v>
      </c>
      <c r="M303" s="11" t="s">
        <v>261</v>
      </c>
      <c r="N303" s="11" t="s">
        <v>261</v>
      </c>
      <c r="O303" s="11" t="s">
        <v>261</v>
      </c>
      <c r="P303" s="11" t="s">
        <v>261</v>
      </c>
      <c r="Q303" s="11" t="s">
        <v>261</v>
      </c>
      <c r="R303" s="11" t="s">
        <v>261</v>
      </c>
      <c r="S303" s="11" t="s">
        <v>261</v>
      </c>
      <c r="T303" s="11" t="s">
        <v>552</v>
      </c>
      <c r="U303" s="11" t="s">
        <v>552</v>
      </c>
      <c r="V303" s="11">
        <v>1</v>
      </c>
      <c r="W303" s="11" t="s">
        <v>20</v>
      </c>
      <c r="X303" s="11" t="s">
        <v>261</v>
      </c>
      <c r="Y303" s="11" t="s">
        <v>261</v>
      </c>
      <c r="Z303" s="11" t="s">
        <v>261</v>
      </c>
      <c r="AA303" s="11" t="s">
        <v>583</v>
      </c>
      <c r="AB303" s="11" t="s">
        <v>261</v>
      </c>
      <c r="AC303" s="11" t="s">
        <v>261</v>
      </c>
      <c r="AD303" s="11" t="s">
        <v>1221</v>
      </c>
      <c r="AE303" s="12" t="s">
        <v>261</v>
      </c>
      <c r="AF303" s="11" t="s">
        <v>261</v>
      </c>
    </row>
    <row r="304" spans="1:32" ht="30" x14ac:dyDescent="0.25">
      <c r="A304" s="11">
        <v>1</v>
      </c>
      <c r="B304" s="11">
        <v>211722</v>
      </c>
      <c r="C304" s="11" t="s">
        <v>710</v>
      </c>
      <c r="D304" s="11" t="str">
        <f>MID(Table22[[#This Row],[تاريخ تاييد]],1,7)</f>
        <v>1404/01</v>
      </c>
      <c r="E304" s="11" t="str">
        <f>MID(Table22[[#This Row],[تاريخ تاييد]],6,2)</f>
        <v>01</v>
      </c>
      <c r="F304" s="11" t="str">
        <f>LEFT(Table22[[#This Row],[تاريخ تاييد]],4)</f>
        <v>1404</v>
      </c>
      <c r="G304" s="11" t="str">
        <f>VLOOKUP(Table22[[#This Row],[شماره فني]],Sheet7!A:C,3,0)</f>
        <v>جلو آمپر</v>
      </c>
      <c r="H304" s="11" t="str">
        <f>VLOOKUP(Table22[[#This Row],[شماره فني]],Sheet7!A:B,2,0)</f>
        <v>جلو آمپر تارا اتوماتیک</v>
      </c>
      <c r="I304" s="11" t="s">
        <v>716</v>
      </c>
      <c r="J304" s="11" t="s">
        <v>1098</v>
      </c>
      <c r="K304" s="11" t="s">
        <v>22</v>
      </c>
      <c r="L304" s="11" t="s">
        <v>1122</v>
      </c>
      <c r="M304" s="11" t="s">
        <v>261</v>
      </c>
      <c r="N304" s="11" t="s">
        <v>261</v>
      </c>
      <c r="O304" s="11" t="s">
        <v>261</v>
      </c>
      <c r="P304" s="11" t="s">
        <v>261</v>
      </c>
      <c r="Q304" s="11" t="s">
        <v>261</v>
      </c>
      <c r="R304" s="11" t="s">
        <v>1124</v>
      </c>
      <c r="S304" s="11" t="s">
        <v>1125</v>
      </c>
      <c r="T304" s="11" t="s">
        <v>1177</v>
      </c>
      <c r="U304" s="11" t="s">
        <v>1126</v>
      </c>
      <c r="V304" s="11">
        <v>1</v>
      </c>
      <c r="W304" s="11" t="s">
        <v>20</v>
      </c>
      <c r="X304" s="11" t="s">
        <v>261</v>
      </c>
      <c r="Y304" s="11" t="s">
        <v>1122</v>
      </c>
      <c r="Z304" s="11" t="s">
        <v>66</v>
      </c>
      <c r="AA304" s="11" t="s">
        <v>26</v>
      </c>
      <c r="AB304" s="11" t="s">
        <v>261</v>
      </c>
      <c r="AC304" s="11" t="s">
        <v>583</v>
      </c>
      <c r="AD304" s="11" t="s">
        <v>1221</v>
      </c>
      <c r="AE304" s="12" t="s">
        <v>261</v>
      </c>
      <c r="AF304" s="11" t="s">
        <v>261</v>
      </c>
    </row>
    <row r="305" spans="1:32" ht="30" x14ac:dyDescent="0.25">
      <c r="A305" s="11">
        <v>1</v>
      </c>
      <c r="B305" s="11">
        <v>213630</v>
      </c>
      <c r="C305" s="11" t="s">
        <v>854</v>
      </c>
      <c r="D305" s="11" t="str">
        <f>MID(Table22[[#This Row],[تاريخ تاييد]],1,7)</f>
        <v>1404/02</v>
      </c>
      <c r="E305" s="11" t="str">
        <f>MID(Table22[[#This Row],[تاريخ تاييد]],6,2)</f>
        <v>02</v>
      </c>
      <c r="F305" s="11" t="str">
        <f>LEFT(Table22[[#This Row],[تاريخ تاييد]],4)</f>
        <v>1404</v>
      </c>
      <c r="G305" s="11" t="str">
        <f>VLOOKUP(Table22[[#This Row],[شماره فني]],Sheet7!A:C,3,0)</f>
        <v>جلو آمپر</v>
      </c>
      <c r="H305" s="11" t="str">
        <f>VLOOKUP(Table22[[#This Row],[شماره فني]],Sheet7!A:B,2,0)</f>
        <v>جلو آمپر تارا اتوماتیک</v>
      </c>
      <c r="I305" s="11" t="s">
        <v>864</v>
      </c>
      <c r="J305" s="11" t="s">
        <v>723</v>
      </c>
      <c r="K305" s="11" t="s">
        <v>261</v>
      </c>
      <c r="L305" s="11" t="s">
        <v>261</v>
      </c>
      <c r="M305" s="11" t="s">
        <v>261</v>
      </c>
      <c r="N305" s="11" t="s">
        <v>261</v>
      </c>
      <c r="O305" s="11" t="s">
        <v>261</v>
      </c>
      <c r="P305" s="11" t="s">
        <v>261</v>
      </c>
      <c r="Q305" s="11" t="s">
        <v>261</v>
      </c>
      <c r="R305" s="11" t="s">
        <v>261</v>
      </c>
      <c r="S305" s="11" t="s">
        <v>261</v>
      </c>
      <c r="T305" s="11" t="s">
        <v>552</v>
      </c>
      <c r="U305" s="11" t="s">
        <v>552</v>
      </c>
      <c r="V305" s="11">
        <v>1</v>
      </c>
      <c r="W305" s="11" t="s">
        <v>20</v>
      </c>
      <c r="X305" s="11" t="s">
        <v>261</v>
      </c>
      <c r="Y305" s="11" t="s">
        <v>261</v>
      </c>
      <c r="Z305" s="11" t="s">
        <v>261</v>
      </c>
      <c r="AA305" s="11" t="s">
        <v>583</v>
      </c>
      <c r="AB305" s="11" t="s">
        <v>261</v>
      </c>
      <c r="AC305" s="11" t="s">
        <v>261</v>
      </c>
      <c r="AD305" s="11" t="s">
        <v>1221</v>
      </c>
      <c r="AE305" s="12" t="s">
        <v>261</v>
      </c>
      <c r="AF305" s="11" t="s">
        <v>261</v>
      </c>
    </row>
    <row r="306" spans="1:32" ht="30" x14ac:dyDescent="0.25">
      <c r="A306" s="11">
        <v>1</v>
      </c>
      <c r="B306" s="11">
        <v>213704</v>
      </c>
      <c r="C306" s="11" t="s">
        <v>870</v>
      </c>
      <c r="D306" s="11" t="str">
        <f>MID(Table22[[#This Row],[تاريخ تاييد]],1,7)</f>
        <v>1404/03</v>
      </c>
      <c r="E306" s="11" t="str">
        <f>MID(Table22[[#This Row],[تاريخ تاييد]],6,2)</f>
        <v>03</v>
      </c>
      <c r="F306" s="11" t="str">
        <f>LEFT(Table22[[#This Row],[تاريخ تاييد]],4)</f>
        <v>1404</v>
      </c>
      <c r="G306" s="11" t="str">
        <f>VLOOKUP(Table22[[#This Row],[شماره فني]],Sheet7!A:C,3,0)</f>
        <v>جلو آمپر</v>
      </c>
      <c r="H306" s="11" t="str">
        <f>VLOOKUP(Table22[[#This Row],[شماره فني]],Sheet7!A:B,2,0)</f>
        <v>جلو آمپر تارا اتوماتیک</v>
      </c>
      <c r="I306" s="11" t="s">
        <v>873</v>
      </c>
      <c r="J306" s="11" t="s">
        <v>334</v>
      </c>
      <c r="K306" s="11" t="s">
        <v>22</v>
      </c>
      <c r="L306" s="11" t="s">
        <v>1122</v>
      </c>
      <c r="M306" s="11" t="s">
        <v>261</v>
      </c>
      <c r="N306" s="11" t="s">
        <v>261</v>
      </c>
      <c r="O306" s="11" t="s">
        <v>261</v>
      </c>
      <c r="P306" s="11" t="s">
        <v>261</v>
      </c>
      <c r="Q306" s="11" t="s">
        <v>261</v>
      </c>
      <c r="R306" s="11" t="s">
        <v>1123</v>
      </c>
      <c r="S306" s="11" t="s">
        <v>829</v>
      </c>
      <c r="T306" s="11" t="s">
        <v>1123</v>
      </c>
      <c r="U306" s="11" t="s">
        <v>553</v>
      </c>
      <c r="V306" s="11">
        <v>1</v>
      </c>
      <c r="W306" s="11" t="s">
        <v>20</v>
      </c>
      <c r="X306" s="11" t="s">
        <v>261</v>
      </c>
      <c r="Y306" s="11" t="s">
        <v>1122</v>
      </c>
      <c r="Z306" s="11" t="s">
        <v>66</v>
      </c>
      <c r="AA306" s="11" t="s">
        <v>583</v>
      </c>
      <c r="AB306" s="11" t="s">
        <v>261</v>
      </c>
      <c r="AC306" s="11" t="s">
        <v>261</v>
      </c>
      <c r="AD306" s="11" t="s">
        <v>1221</v>
      </c>
      <c r="AE306" s="12" t="s">
        <v>261</v>
      </c>
      <c r="AF306" s="11" t="s">
        <v>261</v>
      </c>
    </row>
    <row r="307" spans="1:32" ht="30" x14ac:dyDescent="0.25">
      <c r="A307" s="11">
        <v>1</v>
      </c>
      <c r="B307" s="11">
        <v>215168</v>
      </c>
      <c r="C307" s="11" t="s">
        <v>898</v>
      </c>
      <c r="D307" s="11" t="str">
        <f>MID(Table22[[#This Row],[تاريخ تاييد]],1,7)</f>
        <v>1404/04</v>
      </c>
      <c r="E307" s="11" t="str">
        <f>MID(Table22[[#This Row],[تاريخ تاييد]],6,2)</f>
        <v>04</v>
      </c>
      <c r="F307" s="11" t="str">
        <f>LEFT(Table22[[#This Row],[تاريخ تاييد]],4)</f>
        <v>1404</v>
      </c>
      <c r="G307" s="11" t="str">
        <f>VLOOKUP(Table22[[#This Row],[شماره فني]],Sheet7!A:C,3,0)</f>
        <v>جلو آمپر</v>
      </c>
      <c r="H307" s="11" t="str">
        <f>VLOOKUP(Table22[[#This Row],[شماره فني]],Sheet7!A:B,2,0)</f>
        <v>جلو آمپر تارا دستی</v>
      </c>
      <c r="I307" s="11" t="s">
        <v>897</v>
      </c>
      <c r="J307" s="11" t="s">
        <v>1121</v>
      </c>
      <c r="K307" s="11" t="s">
        <v>22</v>
      </c>
      <c r="L307" s="11" t="s">
        <v>1122</v>
      </c>
      <c r="M307" s="11" t="s">
        <v>261</v>
      </c>
      <c r="N307" s="11" t="s">
        <v>261</v>
      </c>
      <c r="O307" s="11" t="s">
        <v>261</v>
      </c>
      <c r="P307" s="11" t="s">
        <v>261</v>
      </c>
      <c r="Q307" s="11" t="s">
        <v>261</v>
      </c>
      <c r="R307" s="11" t="s">
        <v>1152</v>
      </c>
      <c r="S307" s="11" t="s">
        <v>261</v>
      </c>
      <c r="T307" s="11" t="s">
        <v>1152</v>
      </c>
      <c r="U307" s="11" t="s">
        <v>1152</v>
      </c>
      <c r="V307" s="11">
        <v>1</v>
      </c>
      <c r="W307" s="11" t="s">
        <v>97</v>
      </c>
      <c r="X307" s="11" t="s">
        <v>261</v>
      </c>
      <c r="Y307" s="11" t="s">
        <v>1122</v>
      </c>
      <c r="Z307" s="11" t="s">
        <v>66</v>
      </c>
      <c r="AA307" s="11" t="s">
        <v>26</v>
      </c>
      <c r="AB307" s="11" t="s">
        <v>261</v>
      </c>
      <c r="AC307" s="11" t="s">
        <v>1153</v>
      </c>
      <c r="AD307" s="11" t="s">
        <v>1221</v>
      </c>
      <c r="AE307" s="12" t="s">
        <v>261</v>
      </c>
      <c r="AF307" s="11" t="s">
        <v>261</v>
      </c>
    </row>
    <row r="308" spans="1:32" ht="30" x14ac:dyDescent="0.25">
      <c r="A308" s="11">
        <v>1</v>
      </c>
      <c r="B308" s="11">
        <v>217397</v>
      </c>
      <c r="C308" s="11" t="s">
        <v>943</v>
      </c>
      <c r="D308" s="11" t="str">
        <f>MID(Table22[[#This Row],[تاريخ تاييد]],1,7)</f>
        <v>1404/05</v>
      </c>
      <c r="E308" s="11" t="str">
        <f>MID(Table22[[#This Row],[تاريخ تاييد]],6,2)</f>
        <v>05</v>
      </c>
      <c r="F308" s="11" t="str">
        <f>LEFT(Table22[[#This Row],[تاريخ تاييد]],4)</f>
        <v>1404</v>
      </c>
      <c r="G308" s="11" t="str">
        <f>VLOOKUP(Table22[[#This Row],[شماره فني]],Sheet7!A:C,3,0)</f>
        <v>جلو آمپر</v>
      </c>
      <c r="H308" s="11" t="str">
        <f>VLOOKUP(Table22[[#This Row],[شماره فني]],Sheet7!A:B,2,0)</f>
        <v>جلو آمپر تارا دستی</v>
      </c>
      <c r="I308" s="11" t="s">
        <v>948</v>
      </c>
      <c r="J308" s="11" t="s">
        <v>334</v>
      </c>
      <c r="K308" s="11" t="s">
        <v>22</v>
      </c>
      <c r="L308" s="11" t="s">
        <v>1156</v>
      </c>
      <c r="M308" s="11" t="s">
        <v>261</v>
      </c>
      <c r="N308" s="11" t="s">
        <v>261</v>
      </c>
      <c r="O308" s="11" t="s">
        <v>261</v>
      </c>
      <c r="P308" s="11" t="s">
        <v>261</v>
      </c>
      <c r="Q308" s="11" t="s">
        <v>261</v>
      </c>
      <c r="R308" s="11" t="s">
        <v>1171</v>
      </c>
      <c r="S308" s="11" t="s">
        <v>230</v>
      </c>
      <c r="T308" s="11" t="s">
        <v>797</v>
      </c>
      <c r="U308" s="11" t="s">
        <v>561</v>
      </c>
      <c r="V308" s="11">
        <v>1</v>
      </c>
      <c r="W308" s="11" t="s">
        <v>97</v>
      </c>
      <c r="X308" s="11" t="s">
        <v>261</v>
      </c>
      <c r="Y308" s="11" t="s">
        <v>1156</v>
      </c>
      <c r="Z308" s="11" t="s">
        <v>66</v>
      </c>
      <c r="AA308" s="11" t="s">
        <v>28</v>
      </c>
      <c r="AB308" s="11" t="s">
        <v>261</v>
      </c>
      <c r="AC308" s="11" t="s">
        <v>261</v>
      </c>
      <c r="AD308" s="11" t="s">
        <v>1221</v>
      </c>
      <c r="AE308" s="12" t="s">
        <v>261</v>
      </c>
      <c r="AF308" s="11" t="s">
        <v>261</v>
      </c>
    </row>
    <row r="309" spans="1:32" ht="30" x14ac:dyDescent="0.25">
      <c r="A309" s="11">
        <v>1</v>
      </c>
      <c r="B309" s="11">
        <v>218334</v>
      </c>
      <c r="C309" s="11" t="s">
        <v>1013</v>
      </c>
      <c r="D309" s="11" t="str">
        <f>MID(Table22[[#This Row],[تاريخ تاييد]],1,7)</f>
        <v>1404/06</v>
      </c>
      <c r="E309" s="11" t="str">
        <f>MID(Table22[[#This Row],[تاريخ تاييد]],6,2)</f>
        <v>06</v>
      </c>
      <c r="F309" s="11" t="str">
        <f>LEFT(Table22[[#This Row],[تاريخ تاييد]],4)</f>
        <v>1404</v>
      </c>
      <c r="G309" s="11" t="str">
        <f>VLOOKUP(Table22[[#This Row],[شماره فني]],Sheet7!A:C,3,0)</f>
        <v>جلو آمپر</v>
      </c>
      <c r="H309" s="11" t="str">
        <f>VLOOKUP(Table22[[#This Row],[شماره فني]],Sheet7!A:B,2,0)</f>
        <v>جلو آمپر تارا اتوماتیک</v>
      </c>
      <c r="I309" s="11" t="s">
        <v>1009</v>
      </c>
      <c r="J309" s="11" t="s">
        <v>851</v>
      </c>
      <c r="K309" s="11" t="s">
        <v>261</v>
      </c>
      <c r="L309" s="11" t="s">
        <v>261</v>
      </c>
      <c r="M309" s="11" t="s">
        <v>261</v>
      </c>
      <c r="N309" s="11" t="s">
        <v>261</v>
      </c>
      <c r="O309" s="11" t="s">
        <v>261</v>
      </c>
      <c r="P309" s="11" t="s">
        <v>261</v>
      </c>
      <c r="Q309" s="11" t="s">
        <v>261</v>
      </c>
      <c r="R309" s="11" t="s">
        <v>261</v>
      </c>
      <c r="S309" s="11" t="s">
        <v>261</v>
      </c>
      <c r="T309" s="11" t="s">
        <v>552</v>
      </c>
      <c r="U309" s="11" t="s">
        <v>784</v>
      </c>
      <c r="V309" s="11">
        <v>1</v>
      </c>
      <c r="W309" s="11" t="s">
        <v>20</v>
      </c>
      <c r="X309" s="11" t="s">
        <v>261</v>
      </c>
      <c r="Y309" s="11" t="s">
        <v>261</v>
      </c>
      <c r="Z309" s="11" t="s">
        <v>261</v>
      </c>
      <c r="AA309" s="11" t="s">
        <v>583</v>
      </c>
      <c r="AB309" s="11" t="s">
        <v>261</v>
      </c>
      <c r="AC309" s="11" t="s">
        <v>261</v>
      </c>
      <c r="AD309" s="11" t="s">
        <v>1221</v>
      </c>
      <c r="AE309" s="12" t="s">
        <v>261</v>
      </c>
      <c r="AF309" s="11" t="s">
        <v>261</v>
      </c>
    </row>
    <row r="310" spans="1:32" ht="30" x14ac:dyDescent="0.25">
      <c r="A310" s="11">
        <v>1</v>
      </c>
      <c r="B310" s="11">
        <v>219838</v>
      </c>
      <c r="C310" s="11" t="s">
        <v>1036</v>
      </c>
      <c r="D310" s="11" t="str">
        <f>MID(Table22[[#This Row],[تاريخ تاييد]],1,7)</f>
        <v>1404/07</v>
      </c>
      <c r="E310" s="11" t="str">
        <f>MID(Table22[[#This Row],[تاريخ تاييد]],6,2)</f>
        <v>07</v>
      </c>
      <c r="F310" s="11" t="str">
        <f>LEFT(Table22[[#This Row],[تاريخ تاييد]],4)</f>
        <v>1404</v>
      </c>
      <c r="G310" s="11" t="str">
        <f>VLOOKUP(Table22[[#This Row],[شماره فني]],Sheet7!A:C,3,0)</f>
        <v>جلو آمپر</v>
      </c>
      <c r="H310" s="11" t="str">
        <f>VLOOKUP(Table22[[#This Row],[شماره فني]],Sheet7!A:B,2,0)</f>
        <v>جلو آمپر تارا اتوماتیک SBR</v>
      </c>
      <c r="I310" s="11" t="s">
        <v>1041</v>
      </c>
      <c r="J310" s="11" t="s">
        <v>723</v>
      </c>
      <c r="K310" s="11" t="s">
        <v>261</v>
      </c>
      <c r="L310" s="11" t="s">
        <v>261</v>
      </c>
      <c r="M310" s="11" t="s">
        <v>261</v>
      </c>
      <c r="N310" s="11" t="s">
        <v>261</v>
      </c>
      <c r="O310" s="11" t="s">
        <v>261</v>
      </c>
      <c r="P310" s="11" t="s">
        <v>261</v>
      </c>
      <c r="Q310" s="11" t="s">
        <v>261</v>
      </c>
      <c r="R310" s="11" t="s">
        <v>261</v>
      </c>
      <c r="S310" s="11" t="s">
        <v>261</v>
      </c>
      <c r="T310" s="11" t="s">
        <v>552</v>
      </c>
      <c r="U310" s="11" t="s">
        <v>552</v>
      </c>
      <c r="V310" s="11">
        <v>1</v>
      </c>
      <c r="W310" s="11" t="s">
        <v>1037</v>
      </c>
      <c r="X310" s="11" t="s">
        <v>261</v>
      </c>
      <c r="Y310" s="11" t="s">
        <v>261</v>
      </c>
      <c r="Z310" s="11" t="s">
        <v>261</v>
      </c>
      <c r="AA310" s="11" t="s">
        <v>583</v>
      </c>
      <c r="AB310" s="11" t="s">
        <v>261</v>
      </c>
      <c r="AC310" s="11" t="s">
        <v>261</v>
      </c>
      <c r="AD310" s="11" t="s">
        <v>1221</v>
      </c>
      <c r="AE310" s="12" t="s">
        <v>261</v>
      </c>
      <c r="AF310" s="11" t="s">
        <v>261</v>
      </c>
    </row>
    <row r="311" spans="1:32" ht="30" x14ac:dyDescent="0.25">
      <c r="A311" s="11">
        <v>1</v>
      </c>
      <c r="B311" s="11">
        <v>219765</v>
      </c>
      <c r="C311" s="11" t="s">
        <v>1035</v>
      </c>
      <c r="D311" s="11" t="str">
        <f>MID(Table22[[#This Row],[تاريخ تاييد]],1,7)</f>
        <v>1404/07</v>
      </c>
      <c r="E311" s="11" t="str">
        <f>MID(Table22[[#This Row],[تاريخ تاييد]],6,2)</f>
        <v>07</v>
      </c>
      <c r="F311" s="11" t="str">
        <f>LEFT(Table22[[#This Row],[تاريخ تاييد]],4)</f>
        <v>1404</v>
      </c>
      <c r="G311" s="11" t="str">
        <f>VLOOKUP(Table22[[#This Row],[شماره فني]],Sheet7!A:C,3,0)</f>
        <v>NOD</v>
      </c>
      <c r="H311" s="11" t="str">
        <f>VLOOKUP(Table22[[#This Row],[شماره فني]],Sheet7!A:B,2,0)</f>
        <v>NBCM TARA SAL SBR</v>
      </c>
      <c r="I311" s="11" t="s">
        <v>1039</v>
      </c>
      <c r="J311" s="11" t="s">
        <v>723</v>
      </c>
      <c r="K311" s="11" t="s">
        <v>261</v>
      </c>
      <c r="L311" s="11" t="s">
        <v>261</v>
      </c>
      <c r="M311" s="11" t="s">
        <v>261</v>
      </c>
      <c r="N311" s="11" t="s">
        <v>261</v>
      </c>
      <c r="O311" s="11" t="s">
        <v>261</v>
      </c>
      <c r="P311" s="11" t="s">
        <v>261</v>
      </c>
      <c r="Q311" s="11" t="s">
        <v>261</v>
      </c>
      <c r="R311" s="11" t="s">
        <v>261</v>
      </c>
      <c r="S311" s="11" t="s">
        <v>261</v>
      </c>
      <c r="T311" s="11" t="s">
        <v>552</v>
      </c>
      <c r="U311" s="11" t="s">
        <v>552</v>
      </c>
      <c r="V311" s="11">
        <v>1</v>
      </c>
      <c r="W311" s="11" t="s">
        <v>1002</v>
      </c>
      <c r="X311" s="11" t="s">
        <v>261</v>
      </c>
      <c r="Y311" s="11" t="s">
        <v>261</v>
      </c>
      <c r="Z311" s="11" t="s">
        <v>261</v>
      </c>
      <c r="AA311" s="11" t="s">
        <v>583</v>
      </c>
      <c r="AB311" s="11" t="s">
        <v>261</v>
      </c>
      <c r="AC311" s="11" t="s">
        <v>261</v>
      </c>
      <c r="AD311" s="11" t="s">
        <v>1221</v>
      </c>
      <c r="AE311" s="12" t="s">
        <v>261</v>
      </c>
      <c r="AF311" s="11" t="s">
        <v>261</v>
      </c>
    </row>
    <row r="312" spans="1:32" ht="30" x14ac:dyDescent="0.25">
      <c r="A312" s="11">
        <v>1</v>
      </c>
      <c r="B312" s="11">
        <v>214608</v>
      </c>
      <c r="C312" s="11" t="s">
        <v>883</v>
      </c>
      <c r="D312" s="11" t="str">
        <f>MID(Table22[[#This Row],[تاريخ تاييد]],1,7)</f>
        <v>1404/03</v>
      </c>
      <c r="E312" s="11" t="str">
        <f>MID(Table22[[#This Row],[تاريخ تاييد]],6,2)</f>
        <v>03</v>
      </c>
      <c r="F312" s="11" t="str">
        <f>LEFT(Table22[[#This Row],[تاريخ تاييد]],4)</f>
        <v>1404</v>
      </c>
      <c r="G312" s="11" t="str">
        <f>VLOOKUP(Table22[[#This Row],[شماره فني]],Sheet7!A:C,3,0)</f>
        <v>جلو آمپر</v>
      </c>
      <c r="H312" s="11" t="str">
        <f>VLOOKUP(Table22[[#This Row],[شماره فني]],Sheet7!A:B,2,0)</f>
        <v>جلو آمپر207 اتوماتیک85 گانه</v>
      </c>
      <c r="I312" s="11" t="s">
        <v>885</v>
      </c>
      <c r="J312" s="11" t="s">
        <v>938</v>
      </c>
      <c r="K312" s="11" t="s">
        <v>23</v>
      </c>
      <c r="L312" s="11" t="s">
        <v>1156</v>
      </c>
      <c r="M312" s="11" t="s">
        <v>23</v>
      </c>
      <c r="N312" s="11" t="s">
        <v>1170</v>
      </c>
      <c r="O312" s="11" t="s">
        <v>261</v>
      </c>
      <c r="P312" s="11" t="s">
        <v>261</v>
      </c>
      <c r="Q312" s="11" t="s">
        <v>261</v>
      </c>
      <c r="R312" s="11" t="s">
        <v>1171</v>
      </c>
      <c r="S312" s="11" t="s">
        <v>1179</v>
      </c>
      <c r="T312" s="11" t="s">
        <v>797</v>
      </c>
      <c r="U312" s="11" t="s">
        <v>561</v>
      </c>
      <c r="V312" s="11">
        <v>1</v>
      </c>
      <c r="W312" s="11" t="s">
        <v>31</v>
      </c>
      <c r="X312" s="11" t="s">
        <v>261</v>
      </c>
      <c r="Y312" s="11" t="s">
        <v>1156</v>
      </c>
      <c r="Z312" s="11" t="s">
        <v>66</v>
      </c>
      <c r="AA312" s="11" t="s">
        <v>28</v>
      </c>
      <c r="AB312" s="11" t="s">
        <v>261</v>
      </c>
      <c r="AC312" s="11" t="s">
        <v>261</v>
      </c>
      <c r="AD312" s="11" t="s">
        <v>1221</v>
      </c>
      <c r="AE312" s="12" t="s">
        <v>261</v>
      </c>
      <c r="AF312" s="11" t="s">
        <v>261</v>
      </c>
    </row>
    <row r="313" spans="1:32" ht="30" x14ac:dyDescent="0.25">
      <c r="A313" s="11">
        <v>1</v>
      </c>
      <c r="B313" s="11">
        <v>221702</v>
      </c>
      <c r="C313" s="11" t="s">
        <v>1085</v>
      </c>
      <c r="D313" s="11" t="str">
        <f>MID(Table22[[#This Row],[تاريخ تاييد]],1,7)</f>
        <v>1404/08</v>
      </c>
      <c r="E313" s="11" t="str">
        <f>MID(Table22[[#This Row],[تاريخ تاييد]],6,2)</f>
        <v>08</v>
      </c>
      <c r="F313" s="11" t="str">
        <f>LEFT(Table22[[#This Row],[تاريخ تاييد]],4)</f>
        <v>1404</v>
      </c>
      <c r="G313" s="11" t="str">
        <f>VLOOKUP(Table22[[#This Row],[شماره فني]],Sheet7!A:C,3,0)</f>
        <v>جلو آمپر</v>
      </c>
      <c r="H313" s="11" t="str">
        <f>VLOOKUP(Table22[[#This Row],[شماره فني]],Sheet7!A:B,2,0)</f>
        <v>جلو آمپر تارا دستی SBR</v>
      </c>
      <c r="I313" s="11" t="s">
        <v>1091</v>
      </c>
      <c r="J313" s="11" t="s">
        <v>730</v>
      </c>
      <c r="K313" s="11" t="s">
        <v>261</v>
      </c>
      <c r="L313" s="11" t="s">
        <v>261</v>
      </c>
      <c r="M313" s="11" t="s">
        <v>261</v>
      </c>
      <c r="N313" s="11" t="s">
        <v>261</v>
      </c>
      <c r="O313" s="11" t="s">
        <v>261</v>
      </c>
      <c r="P313" s="11" t="s">
        <v>261</v>
      </c>
      <c r="Q313" s="11" t="s">
        <v>261</v>
      </c>
      <c r="R313" s="11" t="s">
        <v>261</v>
      </c>
      <c r="S313" s="11" t="s">
        <v>261</v>
      </c>
      <c r="T313" s="11" t="s">
        <v>552</v>
      </c>
      <c r="U313" s="11" t="s">
        <v>552</v>
      </c>
      <c r="V313" s="11">
        <v>1</v>
      </c>
      <c r="W313" s="11" t="s">
        <v>1005</v>
      </c>
      <c r="X313" s="11" t="s">
        <v>261</v>
      </c>
      <c r="Y313" s="11" t="s">
        <v>261</v>
      </c>
      <c r="Z313" s="11" t="s">
        <v>261</v>
      </c>
      <c r="AA313" s="11" t="s">
        <v>583</v>
      </c>
      <c r="AB313" s="11" t="s">
        <v>261</v>
      </c>
      <c r="AC313" s="11" t="s">
        <v>261</v>
      </c>
      <c r="AD313" s="11" t="s">
        <v>1221</v>
      </c>
      <c r="AE313" s="12" t="s">
        <v>261</v>
      </c>
      <c r="AF313" s="11" t="s">
        <v>261</v>
      </c>
    </row>
    <row r="314" spans="1:32" ht="30" x14ac:dyDescent="0.25">
      <c r="A314" s="11">
        <v>1</v>
      </c>
      <c r="B314" s="11">
        <v>219134</v>
      </c>
      <c r="C314" s="11" t="s">
        <v>1025</v>
      </c>
      <c r="D314" s="11" t="str">
        <f>MID(Table22[[#This Row],[تاريخ تاييد]],1,7)</f>
        <v>1404/06</v>
      </c>
      <c r="E314" s="11" t="str">
        <f>MID(Table22[[#This Row],[تاريخ تاييد]],6,2)</f>
        <v>06</v>
      </c>
      <c r="F314" s="11" t="str">
        <f>LEFT(Table22[[#This Row],[تاريخ تاييد]],4)</f>
        <v>1404</v>
      </c>
      <c r="G314" s="11" t="str">
        <f>VLOOKUP(Table22[[#This Row],[شماره فني]],Sheet7!A:C,3,0)</f>
        <v>جلو آمپر</v>
      </c>
      <c r="H314" s="11" t="str">
        <f>VLOOKUP(Table22[[#This Row],[شماره فني]],Sheet7!A:B,2,0)</f>
        <v>جلو آمپر تارا دستی SBR</v>
      </c>
      <c r="I314" s="11" t="s">
        <v>1030</v>
      </c>
      <c r="J314" s="11" t="s">
        <v>723</v>
      </c>
      <c r="K314" s="11" t="s">
        <v>261</v>
      </c>
      <c r="L314" s="11" t="s">
        <v>261</v>
      </c>
      <c r="M314" s="11" t="s">
        <v>261</v>
      </c>
      <c r="N314" s="11" t="s">
        <v>261</v>
      </c>
      <c r="O314" s="11" t="s">
        <v>261</v>
      </c>
      <c r="P314" s="11" t="s">
        <v>261</v>
      </c>
      <c r="Q314" s="11" t="s">
        <v>261</v>
      </c>
      <c r="R314" s="11" t="s">
        <v>261</v>
      </c>
      <c r="S314" s="11" t="s">
        <v>261</v>
      </c>
      <c r="T314" s="11" t="s">
        <v>552</v>
      </c>
      <c r="U314" s="11" t="s">
        <v>552</v>
      </c>
      <c r="V314" s="11">
        <v>1</v>
      </c>
      <c r="W314" s="11" t="s">
        <v>1005</v>
      </c>
      <c r="X314" s="11" t="s">
        <v>261</v>
      </c>
      <c r="Y314" s="11" t="s">
        <v>261</v>
      </c>
      <c r="Z314" s="11" t="s">
        <v>261</v>
      </c>
      <c r="AA314" s="11" t="s">
        <v>583</v>
      </c>
      <c r="AB314" s="11" t="s">
        <v>261</v>
      </c>
      <c r="AC314" s="11" t="s">
        <v>261</v>
      </c>
      <c r="AD314" s="11" t="s">
        <v>1221</v>
      </c>
      <c r="AE314" s="12" t="s">
        <v>261</v>
      </c>
      <c r="AF314" s="11" t="s">
        <v>261</v>
      </c>
    </row>
    <row r="315" spans="1:32" ht="30" x14ac:dyDescent="0.25">
      <c r="A315" s="11">
        <v>1</v>
      </c>
      <c r="B315" s="11">
        <v>221361</v>
      </c>
      <c r="C315" s="11" t="s">
        <v>1083</v>
      </c>
      <c r="D315" s="11" t="str">
        <f>MID(Table22[[#This Row],[تاريخ تاييد]],1,7)</f>
        <v>1404/08</v>
      </c>
      <c r="E315" s="11" t="str">
        <f>MID(Table22[[#This Row],[تاريخ تاييد]],6,2)</f>
        <v>08</v>
      </c>
      <c r="F315" s="11" t="str">
        <f>LEFT(Table22[[#This Row],[تاريخ تاييد]],4)</f>
        <v>1404</v>
      </c>
      <c r="G315" s="11" t="str">
        <f>VLOOKUP(Table22[[#This Row],[شماره فني]],Sheet7!A:C,3,0)</f>
        <v>جلو آمپر</v>
      </c>
      <c r="H315" s="11" t="str">
        <f>VLOOKUP(Table22[[#This Row],[شماره فني]],Sheet7!A:B,2,0)</f>
        <v>جلو آمپرSOREN SBR</v>
      </c>
      <c r="I315" s="11" t="s">
        <v>1087</v>
      </c>
      <c r="J315" s="11" t="s">
        <v>952</v>
      </c>
      <c r="K315" s="11" t="s">
        <v>22</v>
      </c>
      <c r="L315" s="11" t="s">
        <v>1156</v>
      </c>
      <c r="M315" s="11" t="s">
        <v>261</v>
      </c>
      <c r="N315" s="11" t="s">
        <v>261</v>
      </c>
      <c r="O315" s="11" t="s">
        <v>261</v>
      </c>
      <c r="P315" s="11" t="s">
        <v>261</v>
      </c>
      <c r="Q315" s="11" t="s">
        <v>261</v>
      </c>
      <c r="R315" s="11"/>
      <c r="S315" s="11" t="s">
        <v>1157</v>
      </c>
      <c r="T315" s="11" t="s">
        <v>797</v>
      </c>
      <c r="U315" s="11" t="s">
        <v>561</v>
      </c>
      <c r="V315" s="11">
        <v>10</v>
      </c>
      <c r="W315" s="11" t="s">
        <v>1028</v>
      </c>
      <c r="X315" s="11" t="s">
        <v>261</v>
      </c>
      <c r="Y315" s="11" t="s">
        <v>1156</v>
      </c>
      <c r="Z315" s="11" t="s">
        <v>66</v>
      </c>
      <c r="AA315" s="11" t="s">
        <v>28</v>
      </c>
      <c r="AB315" s="11" t="s">
        <v>261</v>
      </c>
      <c r="AC315" s="11" t="s">
        <v>261</v>
      </c>
      <c r="AD315" s="11" t="s">
        <v>1221</v>
      </c>
      <c r="AE315" s="12" t="s">
        <v>1158</v>
      </c>
      <c r="AF315" s="11" t="s">
        <v>261</v>
      </c>
    </row>
    <row r="316" spans="1:32" ht="30" x14ac:dyDescent="0.25">
      <c r="A316" s="11">
        <v>1</v>
      </c>
      <c r="B316" s="11">
        <v>222434</v>
      </c>
      <c r="C316" s="11" t="s">
        <v>1113</v>
      </c>
      <c r="D316" s="11" t="str">
        <f>MID(Table22[[#This Row],[تاريخ تاييد]],1,7)</f>
        <v>1404/08</v>
      </c>
      <c r="E316" s="11" t="str">
        <f>MID(Table22[[#This Row],[تاريخ تاييد]],6,2)</f>
        <v>08</v>
      </c>
      <c r="F316" s="11" t="str">
        <f>LEFT(Table22[[#This Row],[تاريخ تاييد]],4)</f>
        <v>1404</v>
      </c>
      <c r="G316" s="11" t="str">
        <f>VLOOKUP(Table22[[#This Row],[شماره فني]],Sheet7!A:C,3,0)</f>
        <v>کلید شیشه بالابر</v>
      </c>
      <c r="H316" s="11" t="str">
        <f>VLOOKUP(Table22[[#This Row],[شماره فني]],Sheet7!A:B,2,0)</f>
        <v xml:space="preserve">کلید شیشه بالابر عقب چپ سورن SBR </v>
      </c>
      <c r="I316" s="11" t="s">
        <v>1119</v>
      </c>
      <c r="J316" s="11" t="s">
        <v>724</v>
      </c>
      <c r="K316" s="11" t="s">
        <v>22</v>
      </c>
      <c r="L316" s="11" t="s">
        <v>1156</v>
      </c>
      <c r="M316" s="11" t="s">
        <v>261</v>
      </c>
      <c r="N316" s="11" t="s">
        <v>261</v>
      </c>
      <c r="O316" s="11" t="s">
        <v>261</v>
      </c>
      <c r="P316" s="11" t="s">
        <v>261</v>
      </c>
      <c r="Q316" s="11" t="s">
        <v>261</v>
      </c>
      <c r="R316" s="11" t="s">
        <v>261</v>
      </c>
      <c r="S316" s="11" t="s">
        <v>922</v>
      </c>
      <c r="T316" s="11" t="s">
        <v>1176</v>
      </c>
      <c r="U316" s="11" t="s">
        <v>1159</v>
      </c>
      <c r="V316" s="11">
        <v>1</v>
      </c>
      <c r="W316" s="11" t="s">
        <v>1114</v>
      </c>
      <c r="X316" s="11" t="s">
        <v>261</v>
      </c>
      <c r="Y316" s="11" t="s">
        <v>1156</v>
      </c>
      <c r="Z316" s="11" t="s">
        <v>66</v>
      </c>
      <c r="AA316" s="11" t="s">
        <v>27</v>
      </c>
      <c r="AB316" s="12" t="s">
        <v>1160</v>
      </c>
      <c r="AC316" s="11" t="s">
        <v>1175</v>
      </c>
      <c r="AD316" s="11" t="s">
        <v>1221</v>
      </c>
      <c r="AE316" s="12" t="s">
        <v>261</v>
      </c>
      <c r="AF316" s="11" t="s">
        <v>261</v>
      </c>
    </row>
    <row r="317" spans="1:32" ht="30" x14ac:dyDescent="0.25">
      <c r="A317" s="11">
        <v>1</v>
      </c>
      <c r="B317" s="11">
        <v>215558</v>
      </c>
      <c r="C317" s="11" t="s">
        <v>914</v>
      </c>
      <c r="D317" s="11" t="str">
        <f>MID(Table22[[#This Row],[تاريخ تاييد]],1,7)</f>
        <v>1404/04</v>
      </c>
      <c r="E317" s="11" t="str">
        <f>MID(Table22[[#This Row],[تاريخ تاييد]],6,2)</f>
        <v>04</v>
      </c>
      <c r="F317" s="11" t="str">
        <f>LEFT(Table22[[#This Row],[تاريخ تاييد]],4)</f>
        <v>1404</v>
      </c>
      <c r="G317" s="11" t="str">
        <f>VLOOKUP(Table22[[#This Row],[شماره فني]],Sheet7!A:C,3,0)</f>
        <v>MFD</v>
      </c>
      <c r="H317" s="11" t="str">
        <f>VLOOKUP(Table22[[#This Row],[شماره فني]],Sheet7!A:B,2,0)</f>
        <v>MFD RUNNA</v>
      </c>
      <c r="I317" s="11" t="s">
        <v>907</v>
      </c>
      <c r="J317" s="11" t="s">
        <v>232</v>
      </c>
      <c r="K317" s="11" t="s">
        <v>22</v>
      </c>
      <c r="L317" s="11" t="s">
        <v>1165</v>
      </c>
      <c r="M317" s="11" t="s">
        <v>261</v>
      </c>
      <c r="N317" s="11" t="s">
        <v>261</v>
      </c>
      <c r="O317" s="11" t="s">
        <v>261</v>
      </c>
      <c r="P317" s="11" t="s">
        <v>261</v>
      </c>
      <c r="Q317" s="11" t="s">
        <v>261</v>
      </c>
      <c r="R317" s="11" t="s">
        <v>1166</v>
      </c>
      <c r="S317" s="11" t="s">
        <v>822</v>
      </c>
      <c r="T317" s="11" t="s">
        <v>797</v>
      </c>
      <c r="U317" s="11" t="s">
        <v>561</v>
      </c>
      <c r="V317" s="11">
        <v>1</v>
      </c>
      <c r="W317" s="11" t="s">
        <v>121</v>
      </c>
      <c r="X317" s="11" t="s">
        <v>261</v>
      </c>
      <c r="Y317" s="11" t="s">
        <v>1165</v>
      </c>
      <c r="Z317" s="11" t="s">
        <v>66</v>
      </c>
      <c r="AA317" s="11" t="s">
        <v>28</v>
      </c>
      <c r="AB317" s="11" t="s">
        <v>261</v>
      </c>
      <c r="AC317" s="11" t="s">
        <v>261</v>
      </c>
      <c r="AD317" s="11" t="s">
        <v>1221</v>
      </c>
      <c r="AE317" s="12" t="s">
        <v>261</v>
      </c>
      <c r="AF317" s="11" t="s">
        <v>261</v>
      </c>
    </row>
    <row r="318" spans="1:32" ht="30" x14ac:dyDescent="0.25">
      <c r="A318" s="11">
        <v>1</v>
      </c>
      <c r="B318" s="11">
        <v>219984</v>
      </c>
      <c r="C318" s="11" t="s">
        <v>1045</v>
      </c>
      <c r="D318" s="11" t="str">
        <f>MID(Table22[[#This Row],[تاريخ تاييد]],1,7)</f>
        <v>1404/07</v>
      </c>
      <c r="E318" s="11" t="str">
        <f>MID(Table22[[#This Row],[تاريخ تاييد]],6,2)</f>
        <v>07</v>
      </c>
      <c r="F318" s="11" t="str">
        <f>LEFT(Table22[[#This Row],[تاريخ تاييد]],4)</f>
        <v>1404</v>
      </c>
      <c r="G318" s="11" t="str">
        <f>VLOOKUP(Table22[[#This Row],[شماره فني]],Sheet7!A:C,3,0)</f>
        <v>MFD</v>
      </c>
      <c r="H318" s="11" t="str">
        <f>VLOOKUP(Table22[[#This Row],[شماره فني]],Sheet7!A:B,2,0)</f>
        <v>MFD RUNNA</v>
      </c>
      <c r="I318" s="11" t="s">
        <v>1049</v>
      </c>
      <c r="J318" s="11" t="s">
        <v>851</v>
      </c>
      <c r="K318" s="11" t="s">
        <v>22</v>
      </c>
      <c r="L318" s="11" t="s">
        <v>1167</v>
      </c>
      <c r="M318" s="11" t="s">
        <v>261</v>
      </c>
      <c r="N318" s="11" t="s">
        <v>261</v>
      </c>
      <c r="O318" s="11" t="s">
        <v>261</v>
      </c>
      <c r="P318" s="11" t="s">
        <v>261</v>
      </c>
      <c r="Q318" s="11" t="s">
        <v>261</v>
      </c>
      <c r="R318" s="11" t="s">
        <v>1168</v>
      </c>
      <c r="S318" s="11" t="s">
        <v>801</v>
      </c>
      <c r="T318" s="11" t="s">
        <v>797</v>
      </c>
      <c r="U318" s="11" t="s">
        <v>561</v>
      </c>
      <c r="V318" s="11">
        <v>1</v>
      </c>
      <c r="W318" s="11" t="s">
        <v>121</v>
      </c>
      <c r="X318" s="11" t="s">
        <v>261</v>
      </c>
      <c r="Y318" s="11" t="s">
        <v>1169</v>
      </c>
      <c r="Z318" s="11" t="s">
        <v>66</v>
      </c>
      <c r="AA318" s="11" t="s">
        <v>28</v>
      </c>
      <c r="AB318" s="11" t="s">
        <v>261</v>
      </c>
      <c r="AC318" s="11" t="s">
        <v>261</v>
      </c>
      <c r="AD318" s="11" t="s">
        <v>1221</v>
      </c>
      <c r="AE318" s="12" t="s">
        <v>261</v>
      </c>
      <c r="AF318" s="11" t="s">
        <v>261</v>
      </c>
    </row>
    <row r="319" spans="1:32" ht="60" x14ac:dyDescent="0.25">
      <c r="A319" s="11">
        <v>1</v>
      </c>
      <c r="B319" s="11">
        <v>216497</v>
      </c>
      <c r="C319" s="11" t="s">
        <v>929</v>
      </c>
      <c r="D319" s="11" t="str">
        <f>MID(Table22[[#This Row],[تاريخ تاييد]],1,7)</f>
        <v>1404/05</v>
      </c>
      <c r="E319" s="11" t="str">
        <f>MID(Table22[[#This Row],[تاريخ تاييد]],6,2)</f>
        <v>05</v>
      </c>
      <c r="F319" s="11" t="str">
        <f>LEFT(Table22[[#This Row],[تاريخ تاييد]],4)</f>
        <v>1404</v>
      </c>
      <c r="G319" s="11" t="str">
        <f>VLOOKUP(Table22[[#This Row],[شماره فني]],Sheet7!A:C,3,0)</f>
        <v>MFD</v>
      </c>
      <c r="H319" s="11" t="str">
        <f>VLOOKUP(Table22[[#This Row],[شماره فني]],Sheet7!A:B,2,0)</f>
        <v>MFD RUNNA</v>
      </c>
      <c r="I319" s="11" t="s">
        <v>934</v>
      </c>
      <c r="J319" s="11" t="s">
        <v>334</v>
      </c>
      <c r="K319" s="11" t="s">
        <v>23</v>
      </c>
      <c r="L319" s="11" t="s">
        <v>1165</v>
      </c>
      <c r="M319" s="11" t="s">
        <v>261</v>
      </c>
      <c r="N319" s="11" t="s">
        <v>261</v>
      </c>
      <c r="O319" s="11" t="s">
        <v>261</v>
      </c>
      <c r="P319" s="11" t="s">
        <v>261</v>
      </c>
      <c r="Q319" s="11" t="s">
        <v>261</v>
      </c>
      <c r="R319" s="11" t="s">
        <v>261</v>
      </c>
      <c r="S319" s="11" t="s">
        <v>261</v>
      </c>
      <c r="T319" s="11" t="s">
        <v>755</v>
      </c>
      <c r="U319" s="11" t="s">
        <v>553</v>
      </c>
      <c r="V319" s="11">
        <v>1</v>
      </c>
      <c r="W319" s="11" t="s">
        <v>121</v>
      </c>
      <c r="X319" s="11" t="s">
        <v>261</v>
      </c>
      <c r="Y319" s="11" t="s">
        <v>1165</v>
      </c>
      <c r="Z319" s="11" t="s">
        <v>66</v>
      </c>
      <c r="AA319" s="11" t="s">
        <v>583</v>
      </c>
      <c r="AB319" s="11" t="s">
        <v>261</v>
      </c>
      <c r="AC319" s="11" t="s">
        <v>261</v>
      </c>
      <c r="AD319" s="11" t="s">
        <v>1221</v>
      </c>
      <c r="AE319" s="12" t="s">
        <v>261</v>
      </c>
      <c r="AF319" s="11" t="s">
        <v>261</v>
      </c>
    </row>
    <row r="320" spans="1:32" ht="30" x14ac:dyDescent="0.25">
      <c r="A320" s="11">
        <v>1</v>
      </c>
      <c r="B320" s="11">
        <v>216992</v>
      </c>
      <c r="C320" s="11" t="s">
        <v>939</v>
      </c>
      <c r="D320" s="11" t="str">
        <f>MID(Table22[[#This Row],[تاريخ تاييد]],1,7)</f>
        <v>1404/05</v>
      </c>
      <c r="E320" s="11" t="str">
        <f>MID(Table22[[#This Row],[تاريخ تاييد]],6,2)</f>
        <v>05</v>
      </c>
      <c r="F320" s="11" t="str">
        <f>LEFT(Table22[[#This Row],[تاريخ تاييد]],4)</f>
        <v>1404</v>
      </c>
      <c r="G320" s="11" t="str">
        <f>VLOOKUP(Table22[[#This Row],[شماره فني]],Sheet7!A:C,3,0)</f>
        <v>MFD</v>
      </c>
      <c r="H320" s="11" t="str">
        <f>VLOOKUP(Table22[[#This Row],[شماره فني]],Sheet7!A:B,2,0)</f>
        <v>MFD RUNNA</v>
      </c>
      <c r="I320" s="11" t="s">
        <v>944</v>
      </c>
      <c r="J320" s="11" t="s">
        <v>334</v>
      </c>
      <c r="K320" s="11" t="s">
        <v>22</v>
      </c>
      <c r="L320" s="11" t="s">
        <v>1180</v>
      </c>
      <c r="M320" s="11" t="s">
        <v>261</v>
      </c>
      <c r="N320" s="11" t="s">
        <v>261</v>
      </c>
      <c r="O320" s="11" t="s">
        <v>261</v>
      </c>
      <c r="P320" s="11" t="s">
        <v>261</v>
      </c>
      <c r="Q320" s="11" t="s">
        <v>261</v>
      </c>
      <c r="R320" s="11" t="s">
        <v>1181</v>
      </c>
      <c r="S320" s="11" t="s">
        <v>822</v>
      </c>
      <c r="T320" s="11" t="s">
        <v>1182</v>
      </c>
      <c r="U320" s="11" t="s">
        <v>553</v>
      </c>
      <c r="V320" s="11">
        <v>10</v>
      </c>
      <c r="W320" s="11" t="s">
        <v>121</v>
      </c>
      <c r="X320" s="11" t="s">
        <v>261</v>
      </c>
      <c r="Y320" s="11" t="s">
        <v>1180</v>
      </c>
      <c r="Z320" s="11" t="s">
        <v>66</v>
      </c>
      <c r="AA320" s="11" t="s">
        <v>26</v>
      </c>
      <c r="AB320" s="11" t="s">
        <v>261</v>
      </c>
      <c r="AC320" s="11" t="s">
        <v>261</v>
      </c>
      <c r="AD320" s="11" t="s">
        <v>1221</v>
      </c>
      <c r="AE320" s="12" t="s">
        <v>261</v>
      </c>
      <c r="AF320" s="11" t="s">
        <v>261</v>
      </c>
    </row>
    <row r="321" spans="1:32" ht="30" x14ac:dyDescent="0.25">
      <c r="A321" s="11">
        <v>1</v>
      </c>
      <c r="B321" s="11">
        <v>224052</v>
      </c>
      <c r="C321" s="11" t="s">
        <v>1165</v>
      </c>
      <c r="D321" s="11" t="str">
        <f>MID(Table22[[#This Row],[تاريخ تاييد]],1,7)</f>
        <v>1404/09</v>
      </c>
      <c r="E321" s="11" t="str">
        <f>MID(Table22[[#This Row],[تاريخ تاييد]],6,2)</f>
        <v>09</v>
      </c>
      <c r="F321" s="11" t="str">
        <f>LEFT(Table22[[#This Row],[تاريخ تاييد]],4)</f>
        <v>1404</v>
      </c>
      <c r="G321" s="11" t="str">
        <f>VLOOKUP(Table22[[#This Row],[شماره فني]],Sheet7!A:C,3,0)</f>
        <v>NOD</v>
      </c>
      <c r="H321" s="11" t="str">
        <f>VLOOKUP(Table22[[#This Row],[شماره فني]],Sheet7!A:B,2,0)</f>
        <v>SBM SOREN SBR</v>
      </c>
      <c r="I321" s="11" t="s">
        <v>1174</v>
      </c>
      <c r="J321" s="11" t="s">
        <v>725</v>
      </c>
      <c r="K321" s="11" t="s">
        <v>261</v>
      </c>
      <c r="L321" s="11" t="s">
        <v>261</v>
      </c>
      <c r="M321" s="11" t="s">
        <v>261</v>
      </c>
      <c r="N321" s="11" t="s">
        <v>261</v>
      </c>
      <c r="O321" s="11" t="s">
        <v>261</v>
      </c>
      <c r="P321" s="11" t="s">
        <v>261</v>
      </c>
      <c r="Q321" s="11" t="s">
        <v>261</v>
      </c>
      <c r="R321" s="11" t="s">
        <v>261</v>
      </c>
      <c r="S321" s="11" t="s">
        <v>261</v>
      </c>
      <c r="T321" s="11" t="s">
        <v>552</v>
      </c>
      <c r="U321" s="11" t="s">
        <v>552</v>
      </c>
      <c r="V321" s="11">
        <v>1</v>
      </c>
      <c r="W321" s="11" t="s">
        <v>1128</v>
      </c>
      <c r="X321" s="11" t="s">
        <v>261</v>
      </c>
      <c r="Y321" s="11" t="s">
        <v>261</v>
      </c>
      <c r="Z321" s="11" t="s">
        <v>261</v>
      </c>
      <c r="AA321" s="11" t="s">
        <v>583</v>
      </c>
      <c r="AB321" s="11" t="s">
        <v>261</v>
      </c>
      <c r="AC321" s="11" t="s">
        <v>261</v>
      </c>
      <c r="AD321" s="11" t="s">
        <v>1221</v>
      </c>
      <c r="AE321" s="12" t="s">
        <v>261</v>
      </c>
      <c r="AF321" s="11" t="s">
        <v>261</v>
      </c>
    </row>
    <row r="322" spans="1:32" ht="30" x14ac:dyDescent="0.25">
      <c r="A322" s="11">
        <v>1</v>
      </c>
      <c r="B322" s="11">
        <v>215926</v>
      </c>
      <c r="C322" s="11" t="s">
        <v>916</v>
      </c>
      <c r="D322" s="11" t="str">
        <f>MID(Table22[[#This Row],[تاريخ تاييد]],1,7)</f>
        <v>1404/04</v>
      </c>
      <c r="E322" s="11" t="str">
        <f>MID(Table22[[#This Row],[تاريخ تاييد]],6,2)</f>
        <v>04</v>
      </c>
      <c r="F322" s="11" t="str">
        <f>LEFT(Table22[[#This Row],[تاريخ تاييد]],4)</f>
        <v>1404</v>
      </c>
      <c r="G322" s="11" t="str">
        <f>VLOOKUP(Table22[[#This Row],[شماره فني]],Sheet7!A:C,3,0)</f>
        <v>جلو آمپر</v>
      </c>
      <c r="H322" s="11" t="str">
        <f>VLOOKUP(Table22[[#This Row],[شماره فني]],Sheet7!A:B,2,0)</f>
        <v>جلو آمپرSOREN TC 85 گانه</v>
      </c>
      <c r="I322" s="11" t="s">
        <v>911</v>
      </c>
      <c r="J322" s="11" t="s">
        <v>334</v>
      </c>
      <c r="K322" s="11" t="s">
        <v>261</v>
      </c>
      <c r="L322" s="11" t="s">
        <v>261</v>
      </c>
      <c r="M322" s="11" t="s">
        <v>261</v>
      </c>
      <c r="N322" s="11" t="s">
        <v>261</v>
      </c>
      <c r="O322" s="11" t="s">
        <v>261</v>
      </c>
      <c r="P322" s="11" t="s">
        <v>261</v>
      </c>
      <c r="Q322" s="11" t="s">
        <v>261</v>
      </c>
      <c r="R322" s="11" t="s">
        <v>261</v>
      </c>
      <c r="S322" s="11" t="s">
        <v>261</v>
      </c>
      <c r="T322" s="11" t="s">
        <v>552</v>
      </c>
      <c r="U322" s="11" t="s">
        <v>552</v>
      </c>
      <c r="V322" s="11">
        <v>1</v>
      </c>
      <c r="W322" s="11" t="s">
        <v>32</v>
      </c>
      <c r="X322" s="11" t="s">
        <v>261</v>
      </c>
      <c r="Y322" s="11" t="s">
        <v>261</v>
      </c>
      <c r="Z322" s="11" t="s">
        <v>261</v>
      </c>
      <c r="AA322" s="11" t="s">
        <v>583</v>
      </c>
      <c r="AB322" s="11" t="s">
        <v>261</v>
      </c>
      <c r="AC322" s="11" t="s">
        <v>261</v>
      </c>
      <c r="AD322" s="11" t="s">
        <v>1221</v>
      </c>
      <c r="AE322" s="12" t="s">
        <v>261</v>
      </c>
      <c r="AF322" s="11" t="s">
        <v>261</v>
      </c>
    </row>
    <row r="323" spans="1:32" ht="30" hidden="1" x14ac:dyDescent="0.25">
      <c r="A323" s="11"/>
      <c r="B323" s="11">
        <v>221535</v>
      </c>
      <c r="C323" s="11" t="s">
        <v>1237</v>
      </c>
      <c r="D323" s="11" t="str">
        <f>MID(Table22[[#This Row],[تاريخ تاييد]],1,7)</f>
        <v>1404/08</v>
      </c>
      <c r="E323" s="11" t="str">
        <f>MID(Table22[[#This Row],[تاريخ تاييد]],6,2)</f>
        <v>08</v>
      </c>
      <c r="F323" s="11"/>
      <c r="G323" s="11" t="str">
        <f>VLOOKUP(Table22[[#This Row],[شماره فني]],Sheet7!A:C,3,0)</f>
        <v>کلید شیشه بالابر</v>
      </c>
      <c r="H323" s="11" t="str">
        <f>VLOOKUP(Table22[[#This Row],[شماره فني]],Sheet7!A:B,2,0)</f>
        <v xml:space="preserve">کلید شیشه بالابر عقب راست سورن SBR </v>
      </c>
      <c r="I323" s="11" t="s">
        <v>1210</v>
      </c>
      <c r="J323" s="11"/>
      <c r="K323" s="11"/>
      <c r="L323" s="11"/>
      <c r="M323" s="11"/>
      <c r="N323" s="11"/>
      <c r="O323" s="11"/>
      <c r="P323" s="11"/>
      <c r="Q323" s="11"/>
      <c r="R323" s="11"/>
      <c r="S323" s="11"/>
      <c r="T323" s="11"/>
      <c r="U323" s="11"/>
      <c r="V323" s="11">
        <v>1</v>
      </c>
      <c r="W323" s="11" t="s">
        <v>1129</v>
      </c>
      <c r="X323" s="11"/>
      <c r="Y323" s="11"/>
      <c r="Z323" s="11"/>
      <c r="AA323" s="11"/>
      <c r="AB323" s="11"/>
      <c r="AC323" s="11"/>
      <c r="AD323" s="11" t="s">
        <v>1221</v>
      </c>
      <c r="AE323" s="12"/>
      <c r="AF323" s="11"/>
    </row>
    <row r="324" spans="1:32" ht="30" hidden="1" x14ac:dyDescent="0.25">
      <c r="A324" s="11"/>
      <c r="B324" s="11">
        <v>215925</v>
      </c>
      <c r="C324" s="11" t="s">
        <v>916</v>
      </c>
      <c r="D324" s="11" t="str">
        <f>MID(Table22[[#This Row],[تاريخ تاييد]],1,7)</f>
        <v>1404/04</v>
      </c>
      <c r="E324" s="11" t="str">
        <f>MID(Table22[[#This Row],[تاريخ تاييد]],6,2)</f>
        <v>04</v>
      </c>
      <c r="F324" s="11"/>
      <c r="G324" s="11" t="str">
        <f>VLOOKUP(Table22[[#This Row],[شماره فني]],Sheet7!A:C,3,0)</f>
        <v>کلید شیشه بالابر</v>
      </c>
      <c r="H324" s="11" t="str">
        <f>VLOOKUP(Table22[[#This Row],[شماره فني]],Sheet7!A:B,2,0)</f>
        <v>کلید شیشه بالابر جلو چپ سورن</v>
      </c>
      <c r="I324" s="11" t="s">
        <v>910</v>
      </c>
      <c r="J324" s="11"/>
      <c r="K324" s="11"/>
      <c r="L324" s="11"/>
      <c r="M324" s="11"/>
      <c r="N324" s="11"/>
      <c r="O324" s="11"/>
      <c r="P324" s="11"/>
      <c r="Q324" s="11"/>
      <c r="R324" s="11"/>
      <c r="S324" s="11"/>
      <c r="T324" s="11"/>
      <c r="U324" s="11"/>
      <c r="V324" s="11">
        <v>1</v>
      </c>
      <c r="W324" s="11" t="s">
        <v>306</v>
      </c>
      <c r="X324" s="11"/>
      <c r="Y324" s="11"/>
      <c r="Z324" s="11"/>
      <c r="AA324" s="11"/>
      <c r="AB324" s="11"/>
      <c r="AC324" s="11"/>
      <c r="AD324" s="11" t="s">
        <v>1221</v>
      </c>
      <c r="AE324" s="12"/>
      <c r="AF324" s="11"/>
    </row>
    <row r="325" spans="1:32" ht="30" hidden="1" x14ac:dyDescent="0.25">
      <c r="A325" s="11"/>
      <c r="B325" s="11">
        <v>217638</v>
      </c>
      <c r="C325" s="11" t="s">
        <v>993</v>
      </c>
      <c r="D325" s="11" t="str">
        <f>MID(Table22[[#This Row],[تاريخ تاييد]],1,7)</f>
        <v>1404/05</v>
      </c>
      <c r="E325" s="11" t="str">
        <f>MID(Table22[[#This Row],[تاريخ تاييد]],6,2)</f>
        <v>05</v>
      </c>
      <c r="F325" s="11"/>
      <c r="G325" s="11" t="str">
        <f>VLOOKUP(Table22[[#This Row],[شماره فني]],Sheet7!A:C,3,0)</f>
        <v>جلو آمپر</v>
      </c>
      <c r="H325" s="11" t="str">
        <f>VLOOKUP(Table22[[#This Row],[شماره فني]],Sheet7!A:B,2,0)</f>
        <v>جلو آمپرSOREN TC 85 گانه</v>
      </c>
      <c r="I325" s="11" t="s">
        <v>996</v>
      </c>
      <c r="J325" s="11"/>
      <c r="K325" s="11"/>
      <c r="L325" s="11"/>
      <c r="M325" s="11"/>
      <c r="N325" s="11"/>
      <c r="O325" s="11"/>
      <c r="P325" s="11"/>
      <c r="Q325" s="11"/>
      <c r="R325" s="11"/>
      <c r="S325" s="11"/>
      <c r="T325" s="11"/>
      <c r="U325" s="11"/>
      <c r="V325" s="11">
        <v>4</v>
      </c>
      <c r="W325" s="11" t="s">
        <v>32</v>
      </c>
      <c r="X325" s="11"/>
      <c r="Y325" s="11"/>
      <c r="Z325" s="11"/>
      <c r="AA325" s="11"/>
      <c r="AB325" s="11"/>
      <c r="AC325" s="11"/>
      <c r="AD325" s="11" t="s">
        <v>1221</v>
      </c>
      <c r="AE325" s="12"/>
      <c r="AF325" s="11"/>
    </row>
    <row r="326" spans="1:32" ht="30" hidden="1" x14ac:dyDescent="0.25">
      <c r="A326" s="11"/>
      <c r="B326" s="11">
        <v>216126</v>
      </c>
      <c r="C326" s="11" t="s">
        <v>927</v>
      </c>
      <c r="D326" s="11" t="str">
        <f>MID(Table22[[#This Row],[تاريخ تاييد]],1,7)</f>
        <v>1404/04</v>
      </c>
      <c r="E326" s="11" t="str">
        <f>MID(Table22[[#This Row],[تاريخ تاييد]],6,2)</f>
        <v>04</v>
      </c>
      <c r="F326" s="11"/>
      <c r="G326" s="11" t="str">
        <f>VLOOKUP(Table22[[#This Row],[شماره فني]],Sheet7!A:C,3,0)</f>
        <v>جلو آمپر</v>
      </c>
      <c r="H326" s="11" t="str">
        <f>VLOOKUP(Table22[[#This Row],[شماره فني]],Sheet7!A:B,2,0)</f>
        <v>جلو آمپرSOREN TC 85 گانه</v>
      </c>
      <c r="I326" s="11" t="s">
        <v>932</v>
      </c>
      <c r="J326" s="11"/>
      <c r="K326" s="11"/>
      <c r="L326" s="11"/>
      <c r="M326" s="11"/>
      <c r="N326" s="11"/>
      <c r="O326" s="11"/>
      <c r="P326" s="11"/>
      <c r="Q326" s="11"/>
      <c r="R326" s="11"/>
      <c r="S326" s="11"/>
      <c r="T326" s="11"/>
      <c r="U326" s="11"/>
      <c r="V326" s="11">
        <v>3</v>
      </c>
      <c r="W326" s="11" t="s">
        <v>32</v>
      </c>
      <c r="X326" s="11"/>
      <c r="Y326" s="11"/>
      <c r="Z326" s="11"/>
      <c r="AA326" s="11"/>
      <c r="AB326" s="11"/>
      <c r="AC326" s="11"/>
      <c r="AD326" s="11" t="s">
        <v>1221</v>
      </c>
      <c r="AE326" s="12"/>
      <c r="AF326" s="11"/>
    </row>
    <row r="327" spans="1:32" ht="30" hidden="1" x14ac:dyDescent="0.25">
      <c r="A327" s="11"/>
      <c r="B327" s="11">
        <v>211086</v>
      </c>
      <c r="C327" s="11" t="s">
        <v>608</v>
      </c>
      <c r="D327" s="11" t="str">
        <f>MID(Table22[[#This Row],[تاريخ تاييد]],1,7)</f>
        <v>1404/01</v>
      </c>
      <c r="E327" s="11" t="str">
        <f>MID(Table22[[#This Row],[تاريخ تاييد]],6,2)</f>
        <v>01</v>
      </c>
      <c r="F327" s="11"/>
      <c r="G327" s="11" t="str">
        <f>VLOOKUP(Table22[[#This Row],[شماره فني]],Sheet7!A:C,3,0)</f>
        <v>جلو آمپر</v>
      </c>
      <c r="H327" s="11" t="str">
        <f>VLOOKUP(Table22[[#This Row],[شماره فني]],Sheet7!A:B,2,0)</f>
        <v>جلو آمپرSOREN TC 85 گانه</v>
      </c>
      <c r="I327" s="11" t="s">
        <v>611</v>
      </c>
      <c r="J327" s="11"/>
      <c r="K327" s="11"/>
      <c r="L327" s="11"/>
      <c r="M327" s="11"/>
      <c r="N327" s="11"/>
      <c r="O327" s="11"/>
      <c r="P327" s="11"/>
      <c r="Q327" s="11"/>
      <c r="R327" s="11"/>
      <c r="S327" s="11"/>
      <c r="T327" s="11"/>
      <c r="U327" s="11"/>
      <c r="V327" s="11">
        <v>2</v>
      </c>
      <c r="W327" s="11" t="s">
        <v>32</v>
      </c>
      <c r="X327" s="11"/>
      <c r="Y327" s="11"/>
      <c r="Z327" s="11"/>
      <c r="AA327" s="11"/>
      <c r="AB327" s="11"/>
      <c r="AC327" s="11"/>
      <c r="AD327" s="11" t="s">
        <v>1221</v>
      </c>
      <c r="AE327" s="12"/>
      <c r="AF327" s="11"/>
    </row>
    <row r="328" spans="1:32" ht="30" hidden="1" x14ac:dyDescent="0.25">
      <c r="A328" s="11"/>
      <c r="B328" s="11">
        <v>211830</v>
      </c>
      <c r="C328" s="11" t="s">
        <v>712</v>
      </c>
      <c r="D328" s="11" t="str">
        <f>MID(Table22[[#This Row],[تاريخ تاييد]],1,7)</f>
        <v>1404/01</v>
      </c>
      <c r="E328" s="11" t="str">
        <f>MID(Table22[[#This Row],[تاريخ تاييد]],6,2)</f>
        <v>01</v>
      </c>
      <c r="F328" s="11"/>
      <c r="G328" s="11" t="str">
        <f>VLOOKUP(Table22[[#This Row],[شماره فني]],Sheet7!A:C,3,0)</f>
        <v>جلو آمپر</v>
      </c>
      <c r="H328" s="11" t="str">
        <f>VLOOKUP(Table22[[#This Row],[شماره فني]],Sheet7!A:B,2,0)</f>
        <v>جلو آمپرSOREN TC 85 گانه</v>
      </c>
      <c r="I328" s="11" t="s">
        <v>719</v>
      </c>
      <c r="J328" s="11"/>
      <c r="K328" s="11"/>
      <c r="L328" s="11"/>
      <c r="M328" s="11"/>
      <c r="N328" s="11"/>
      <c r="O328" s="11"/>
      <c r="P328" s="11"/>
      <c r="Q328" s="11"/>
      <c r="R328" s="11"/>
      <c r="S328" s="11"/>
      <c r="T328" s="11"/>
      <c r="U328" s="11"/>
      <c r="V328" s="11">
        <v>1</v>
      </c>
      <c r="W328" s="11" t="s">
        <v>32</v>
      </c>
      <c r="X328" s="11"/>
      <c r="Y328" s="11"/>
      <c r="Z328" s="11"/>
      <c r="AA328" s="11"/>
      <c r="AB328" s="11"/>
      <c r="AC328" s="11"/>
      <c r="AD328" s="11" t="s">
        <v>1221</v>
      </c>
      <c r="AE328" s="12"/>
      <c r="AF328" s="11"/>
    </row>
    <row r="329" spans="1:32" ht="30" hidden="1" x14ac:dyDescent="0.25">
      <c r="A329" s="11"/>
      <c r="B329" s="11">
        <v>220108</v>
      </c>
      <c r="C329" s="11" t="s">
        <v>1046</v>
      </c>
      <c r="D329" s="11" t="str">
        <f>MID(Table22[[#This Row],[تاريخ تاييد]],1,7)</f>
        <v>1404/07</v>
      </c>
      <c r="E329" s="11" t="str">
        <f>MID(Table22[[#This Row],[تاريخ تاييد]],6,2)</f>
        <v>07</v>
      </c>
      <c r="F329" s="11"/>
      <c r="G329" s="11" t="str">
        <f>VLOOKUP(Table22[[#This Row],[شماره فني]],Sheet7!A:C,3,0)</f>
        <v>جلو آمپر</v>
      </c>
      <c r="H329" s="11" t="str">
        <f>VLOOKUP(Table22[[#This Row],[شماره فني]],Sheet7!A:B,2,0)</f>
        <v>جلو آمپرSOREN SBR</v>
      </c>
      <c r="I329" s="11" t="s">
        <v>1051</v>
      </c>
      <c r="J329" s="11"/>
      <c r="K329" s="11"/>
      <c r="L329" s="11"/>
      <c r="M329" s="11"/>
      <c r="N329" s="11"/>
      <c r="O329" s="11"/>
      <c r="P329" s="11"/>
      <c r="Q329" s="11"/>
      <c r="R329" s="11"/>
      <c r="S329" s="11"/>
      <c r="T329" s="11"/>
      <c r="U329" s="11"/>
      <c r="V329" s="11">
        <v>20</v>
      </c>
      <c r="W329" s="11" t="s">
        <v>1028</v>
      </c>
      <c r="X329" s="11"/>
      <c r="Y329" s="11"/>
      <c r="Z329" s="11"/>
      <c r="AA329" s="11"/>
      <c r="AB329" s="11"/>
      <c r="AC329" s="11"/>
      <c r="AD329" s="11" t="s">
        <v>1221</v>
      </c>
      <c r="AE329" s="12"/>
      <c r="AF329" s="11"/>
    </row>
    <row r="330" spans="1:32" ht="30" hidden="1" x14ac:dyDescent="0.25">
      <c r="A330" s="11"/>
      <c r="B330" s="11">
        <v>217286</v>
      </c>
      <c r="C330" s="11" t="s">
        <v>942</v>
      </c>
      <c r="D330" s="11" t="str">
        <f>MID(Table22[[#This Row],[تاريخ تاييد]],1,7)</f>
        <v>1404/05</v>
      </c>
      <c r="E330" s="11" t="str">
        <f>MID(Table22[[#This Row],[تاريخ تاييد]],6,2)</f>
        <v>05</v>
      </c>
      <c r="F330" s="11"/>
      <c r="G330" s="11" t="str">
        <f>VLOOKUP(Table22[[#This Row],[شماره فني]],Sheet7!A:C,3,0)</f>
        <v>NOD</v>
      </c>
      <c r="H330" s="11" t="str">
        <f>VLOOKUP(Table22[[#This Row],[شماره فني]],Sheet7!A:B,2,0)</f>
        <v>NBCM SOREN</v>
      </c>
      <c r="I330" s="11" t="s">
        <v>947</v>
      </c>
      <c r="J330" s="11"/>
      <c r="K330" s="11"/>
      <c r="L330" s="11"/>
      <c r="M330" s="11"/>
      <c r="N330" s="11"/>
      <c r="O330" s="11"/>
      <c r="P330" s="11"/>
      <c r="Q330" s="11"/>
      <c r="R330" s="11"/>
      <c r="S330" s="11"/>
      <c r="T330" s="11"/>
      <c r="U330" s="11"/>
      <c r="V330" s="11">
        <v>1</v>
      </c>
      <c r="W330" s="11" t="s">
        <v>208</v>
      </c>
      <c r="X330" s="11"/>
      <c r="Y330" s="11"/>
      <c r="Z330" s="11"/>
      <c r="AA330" s="11"/>
      <c r="AB330" s="11"/>
      <c r="AC330" s="11"/>
      <c r="AD330" s="11" t="s">
        <v>1221</v>
      </c>
      <c r="AE330" s="12"/>
      <c r="AF330" s="11"/>
    </row>
    <row r="331" spans="1:32" ht="30" hidden="1" x14ac:dyDescent="0.25">
      <c r="A331" s="11"/>
      <c r="B331" s="11">
        <v>220010</v>
      </c>
      <c r="C331" s="11" t="s">
        <v>1045</v>
      </c>
      <c r="D331" s="11" t="str">
        <f>MID(Table22[[#This Row],[تاريخ تاييد]],1,7)</f>
        <v>1404/07</v>
      </c>
      <c r="E331" s="11" t="str">
        <f>MID(Table22[[#This Row],[تاريخ تاييد]],6,2)</f>
        <v>07</v>
      </c>
      <c r="F331" s="11"/>
      <c r="G331" s="11" t="str">
        <f>VLOOKUP(Table22[[#This Row],[شماره فني]],Sheet7!A:C,3,0)</f>
        <v>جلو آمپر</v>
      </c>
      <c r="H331" s="11" t="str">
        <f>VLOOKUP(Table22[[#This Row],[شماره فني]],Sheet7!A:B,2,0)</f>
        <v>جلو آمپرSOREN SBR</v>
      </c>
      <c r="I331" s="11" t="s">
        <v>1050</v>
      </c>
      <c r="J331" s="11"/>
      <c r="K331" s="11"/>
      <c r="L331" s="11"/>
      <c r="M331" s="11"/>
      <c r="N331" s="11"/>
      <c r="O331" s="11"/>
      <c r="P331" s="11"/>
      <c r="Q331" s="11"/>
      <c r="R331" s="11"/>
      <c r="S331" s="11"/>
      <c r="T331" s="11"/>
      <c r="U331" s="11"/>
      <c r="V331" s="11">
        <v>4</v>
      </c>
      <c r="W331" s="11" t="s">
        <v>1028</v>
      </c>
      <c r="X331" s="11"/>
      <c r="Y331" s="11"/>
      <c r="Z331" s="11"/>
      <c r="AA331" s="11"/>
      <c r="AB331" s="11"/>
      <c r="AC331" s="11"/>
      <c r="AD331" s="11" t="s">
        <v>1221</v>
      </c>
      <c r="AE331" s="12"/>
      <c r="AF331" s="11"/>
    </row>
    <row r="332" spans="1:32" ht="30" hidden="1" x14ac:dyDescent="0.25">
      <c r="A332" s="11"/>
      <c r="B332" s="11">
        <v>225012</v>
      </c>
      <c r="C332" s="11" t="s">
        <v>1234</v>
      </c>
      <c r="D332" s="11" t="str">
        <f>MID(Table22[[#This Row],[تاريخ تاييد]],1,7)</f>
        <v>1404/10</v>
      </c>
      <c r="E332" s="11" t="str">
        <f>MID(Table22[[#This Row],[تاريخ تاييد]],6,2)</f>
        <v>10</v>
      </c>
      <c r="F332" s="11"/>
      <c r="G332" s="11" t="e">
        <f>VLOOKUP(Table22[[#This Row],[شماره فني]],Sheet7!A:C,3,0)</f>
        <v>#N/A</v>
      </c>
      <c r="H332" s="11" t="e">
        <f>VLOOKUP(Table22[[#This Row],[شماره فني]],Sheet7!A:B,2,0)</f>
        <v>#N/A</v>
      </c>
      <c r="I332" s="11" t="s">
        <v>1211</v>
      </c>
      <c r="J332" s="11"/>
      <c r="K332" s="11"/>
      <c r="L332" s="11"/>
      <c r="M332" s="11"/>
      <c r="N332" s="11"/>
      <c r="O332" s="11"/>
      <c r="P332" s="11"/>
      <c r="Q332" s="11"/>
      <c r="R332" s="11"/>
      <c r="S332" s="11"/>
      <c r="T332" s="11"/>
      <c r="U332" s="11"/>
      <c r="V332" s="11">
        <v>1</v>
      </c>
      <c r="W332" s="11" t="s">
        <v>1222</v>
      </c>
      <c r="X332" s="11"/>
      <c r="Y332" s="11"/>
      <c r="Z332" s="11"/>
      <c r="AA332" s="11"/>
      <c r="AB332" s="11"/>
      <c r="AC332" s="11"/>
      <c r="AD332" s="11" t="s">
        <v>1221</v>
      </c>
      <c r="AE332" s="12"/>
      <c r="AF332" s="11"/>
    </row>
    <row r="333" spans="1:32" ht="30" hidden="1" x14ac:dyDescent="0.25">
      <c r="A333" s="11"/>
      <c r="B333" s="11">
        <v>211539</v>
      </c>
      <c r="C333" s="11" t="s">
        <v>709</v>
      </c>
      <c r="D333" s="11" t="str">
        <f>MID(Table22[[#This Row],[تاريخ تاييد]],1,7)</f>
        <v>1404/01</v>
      </c>
      <c r="E333" s="11" t="str">
        <f>MID(Table22[[#This Row],[تاريخ تاييد]],6,2)</f>
        <v>01</v>
      </c>
      <c r="F333" s="11"/>
      <c r="G333" s="11" t="str">
        <f>VLOOKUP(Table22[[#This Row],[شماره فني]],Sheet7!A:C,3,0)</f>
        <v>کلید شیشه بالابر</v>
      </c>
      <c r="H333" s="11" t="str">
        <f>VLOOKUP(Table22[[#This Row],[شماره فني]],Sheet7!A:B,2,0)</f>
        <v>کلید شیشه بالابر جلو چپ سورن</v>
      </c>
      <c r="I333" s="11" t="s">
        <v>715</v>
      </c>
      <c r="J333" s="11"/>
      <c r="K333" s="11"/>
      <c r="L333" s="11"/>
      <c r="M333" s="11"/>
      <c r="N333" s="11"/>
      <c r="O333" s="11"/>
      <c r="P333" s="11"/>
      <c r="Q333" s="11"/>
      <c r="R333" s="11"/>
      <c r="S333" s="11"/>
      <c r="T333" s="11"/>
      <c r="U333" s="11"/>
      <c r="V333" s="11">
        <v>1</v>
      </c>
      <c r="W333" s="11" t="s">
        <v>306</v>
      </c>
      <c r="X333" s="11"/>
      <c r="Y333" s="11"/>
      <c r="Z333" s="11"/>
      <c r="AA333" s="11"/>
      <c r="AB333" s="11"/>
      <c r="AC333" s="11"/>
      <c r="AD333" s="11" t="s">
        <v>1221</v>
      </c>
      <c r="AE333" s="12"/>
      <c r="AF333" s="11"/>
    </row>
    <row r="334" spans="1:32" ht="30" hidden="1" x14ac:dyDescent="0.25">
      <c r="A334" s="11"/>
      <c r="B334" s="11">
        <v>217962</v>
      </c>
      <c r="C334" s="11" t="s">
        <v>994</v>
      </c>
      <c r="D334" s="11" t="str">
        <f>MID(Table22[[#This Row],[تاريخ تاييد]],1,7)</f>
        <v>1404/06</v>
      </c>
      <c r="E334" s="11" t="str">
        <f>MID(Table22[[#This Row],[تاريخ تاييد]],6,2)</f>
        <v>06</v>
      </c>
      <c r="F334" s="11"/>
      <c r="G334" s="11" t="str">
        <f>VLOOKUP(Table22[[#This Row],[شماره فني]],Sheet7!A:C,3,0)</f>
        <v>کلید شیشه بالابر</v>
      </c>
      <c r="H334" s="11" t="str">
        <f>VLOOKUP(Table22[[#This Row],[شماره فني]],Sheet7!A:B,2,0)</f>
        <v>کلید شیشه بالابر جلو چپ سورن</v>
      </c>
      <c r="I334" s="11" t="s">
        <v>997</v>
      </c>
      <c r="J334" s="11"/>
      <c r="K334" s="11"/>
      <c r="L334" s="11"/>
      <c r="M334" s="11"/>
      <c r="N334" s="11"/>
      <c r="O334" s="11"/>
      <c r="P334" s="11"/>
      <c r="Q334" s="11"/>
      <c r="R334" s="11"/>
      <c r="S334" s="11"/>
      <c r="T334" s="11"/>
      <c r="U334" s="11"/>
      <c r="V334" s="11">
        <v>10</v>
      </c>
      <c r="W334" s="11" t="s">
        <v>306</v>
      </c>
      <c r="X334" s="11"/>
      <c r="Y334" s="11"/>
      <c r="Z334" s="11"/>
      <c r="AA334" s="11"/>
      <c r="AB334" s="11"/>
      <c r="AC334" s="11"/>
      <c r="AD334" s="11" t="s">
        <v>1221</v>
      </c>
      <c r="AE334" s="12"/>
      <c r="AF334" s="11"/>
    </row>
    <row r="335" spans="1:32" ht="30" hidden="1" x14ac:dyDescent="0.25">
      <c r="A335" s="11"/>
      <c r="B335" s="11">
        <v>219976</v>
      </c>
      <c r="C335" s="11" t="s">
        <v>1045</v>
      </c>
      <c r="D335" s="11" t="str">
        <f>MID(Table22[[#This Row],[تاريخ تاييد]],1,7)</f>
        <v>1404/07</v>
      </c>
      <c r="E335" s="11" t="str">
        <f>MID(Table22[[#This Row],[تاريخ تاييد]],6,2)</f>
        <v>07</v>
      </c>
      <c r="F335" s="11"/>
      <c r="G335" s="11" t="str">
        <f>VLOOKUP(Table22[[#This Row],[شماره فني]],Sheet7!A:C,3,0)</f>
        <v>جلو آمپر</v>
      </c>
      <c r="H335" s="11" t="str">
        <f>VLOOKUP(Table22[[#This Row],[شماره فني]],Sheet7!A:B,2,0)</f>
        <v>جلو آمپرSOREN SBR</v>
      </c>
      <c r="I335" s="11" t="s">
        <v>1048</v>
      </c>
      <c r="J335" s="11"/>
      <c r="K335" s="11"/>
      <c r="L335" s="11"/>
      <c r="M335" s="11"/>
      <c r="N335" s="11"/>
      <c r="O335" s="11"/>
      <c r="P335" s="11"/>
      <c r="Q335" s="11"/>
      <c r="R335" s="11"/>
      <c r="S335" s="11"/>
      <c r="T335" s="11"/>
      <c r="U335" s="11"/>
      <c r="V335" s="11">
        <v>5</v>
      </c>
      <c r="W335" s="11" t="s">
        <v>1028</v>
      </c>
      <c r="X335" s="11"/>
      <c r="Y335" s="11"/>
      <c r="Z335" s="11"/>
      <c r="AA335" s="11"/>
      <c r="AB335" s="11"/>
      <c r="AC335" s="11"/>
      <c r="AD335" s="11" t="s">
        <v>1221</v>
      </c>
      <c r="AE335" s="12"/>
      <c r="AF335" s="11"/>
    </row>
    <row r="336" spans="1:32" ht="30" hidden="1" x14ac:dyDescent="0.25">
      <c r="A336" s="11"/>
      <c r="B336" s="11">
        <v>222294</v>
      </c>
      <c r="C336" s="11" t="s">
        <v>1238</v>
      </c>
      <c r="D336" s="11" t="str">
        <f>MID(Table22[[#This Row],[تاريخ تاييد]],1,7)</f>
        <v>1404/08</v>
      </c>
      <c r="E336" s="11" t="str">
        <f>MID(Table22[[#This Row],[تاريخ تاييد]],6,2)</f>
        <v>08</v>
      </c>
      <c r="F336" s="11"/>
      <c r="G336" s="11" t="e">
        <f>VLOOKUP(Table22[[#This Row],[شماره فني]],Sheet7!A:C,3,0)</f>
        <v>#N/A</v>
      </c>
      <c r="H336" s="11" t="e">
        <f>VLOOKUP(Table22[[#This Row],[شماره فني]],Sheet7!A:B,2,0)</f>
        <v>#N/A</v>
      </c>
      <c r="I336" s="11" t="s">
        <v>1212</v>
      </c>
      <c r="J336" s="11"/>
      <c r="K336" s="11"/>
      <c r="L336" s="11"/>
      <c r="M336" s="11"/>
      <c r="N336" s="11"/>
      <c r="O336" s="11"/>
      <c r="P336" s="11"/>
      <c r="Q336" s="11"/>
      <c r="R336" s="11"/>
      <c r="S336" s="11"/>
      <c r="T336" s="11"/>
      <c r="U336" s="11"/>
      <c r="V336" s="11">
        <v>1</v>
      </c>
      <c r="W336" s="11" t="s">
        <v>1222</v>
      </c>
      <c r="X336" s="11"/>
      <c r="Y336" s="11"/>
      <c r="Z336" s="11"/>
      <c r="AA336" s="11"/>
      <c r="AB336" s="11"/>
      <c r="AC336" s="11"/>
      <c r="AD336" s="11" t="s">
        <v>1221</v>
      </c>
      <c r="AE336" s="12"/>
      <c r="AF336" s="11"/>
    </row>
    <row r="337" spans="1:32" ht="30" hidden="1" x14ac:dyDescent="0.25">
      <c r="A337" s="11"/>
      <c r="B337" s="11">
        <v>224776</v>
      </c>
      <c r="C337" s="11" t="s">
        <v>1228</v>
      </c>
      <c r="D337" s="11" t="str">
        <f>MID(Table22[[#This Row],[تاريخ تاييد]],1,7)</f>
        <v>1404/10</v>
      </c>
      <c r="E337" s="11" t="str">
        <f>MID(Table22[[#This Row],[تاريخ تاييد]],6,2)</f>
        <v>10</v>
      </c>
      <c r="F337" s="11"/>
      <c r="G337" s="11" t="e">
        <f>VLOOKUP(Table22[[#This Row],[شماره فني]],Sheet7!A:C,3,0)</f>
        <v>#N/A</v>
      </c>
      <c r="H337" s="11" t="e">
        <f>VLOOKUP(Table22[[#This Row],[شماره فني]],Sheet7!A:B,2,0)</f>
        <v>#N/A</v>
      </c>
      <c r="I337" s="11" t="s">
        <v>1213</v>
      </c>
      <c r="J337" s="11"/>
      <c r="K337" s="11"/>
      <c r="L337" s="11"/>
      <c r="M337" s="11"/>
      <c r="N337" s="11"/>
      <c r="O337" s="11"/>
      <c r="P337" s="11"/>
      <c r="Q337" s="11"/>
      <c r="R337" s="11"/>
      <c r="S337" s="11"/>
      <c r="T337" s="11"/>
      <c r="U337" s="11"/>
      <c r="V337" s="11">
        <v>1</v>
      </c>
      <c r="W337" s="11" t="s">
        <v>1222</v>
      </c>
      <c r="X337" s="11"/>
      <c r="Y337" s="11"/>
      <c r="Z337" s="11"/>
      <c r="AA337" s="11"/>
      <c r="AB337" s="11"/>
      <c r="AC337" s="11"/>
      <c r="AD337" s="11" t="s">
        <v>1221</v>
      </c>
      <c r="AE337" s="12"/>
      <c r="AF337" s="11"/>
    </row>
    <row r="338" spans="1:32" ht="30" hidden="1" x14ac:dyDescent="0.25">
      <c r="A338" s="11"/>
      <c r="B338" s="11">
        <v>223294</v>
      </c>
      <c r="C338" s="11" t="s">
        <v>1239</v>
      </c>
      <c r="D338" s="11" t="str">
        <f>MID(Table22[[#This Row],[تاريخ تاييد]],1,7)</f>
        <v>1404/09</v>
      </c>
      <c r="E338" s="11" t="str">
        <f>MID(Table22[[#This Row],[تاريخ تاييد]],6,2)</f>
        <v>09</v>
      </c>
      <c r="F338" s="11"/>
      <c r="G338" s="11" t="e">
        <f>VLOOKUP(Table22[[#This Row],[شماره فني]],Sheet7!A:C,3,0)</f>
        <v>#N/A</v>
      </c>
      <c r="H338" s="11" t="e">
        <f>VLOOKUP(Table22[[#This Row],[شماره فني]],Sheet7!A:B,2,0)</f>
        <v>#N/A</v>
      </c>
      <c r="I338" s="11" t="s">
        <v>1214</v>
      </c>
      <c r="J338" s="11"/>
      <c r="K338" s="11"/>
      <c r="L338" s="11"/>
      <c r="M338" s="11"/>
      <c r="N338" s="11"/>
      <c r="O338" s="11"/>
      <c r="P338" s="11"/>
      <c r="Q338" s="11"/>
      <c r="R338" s="11"/>
      <c r="S338" s="11"/>
      <c r="T338" s="11"/>
      <c r="U338" s="11"/>
      <c r="V338" s="11">
        <v>3</v>
      </c>
      <c r="W338" s="11" t="s">
        <v>1223</v>
      </c>
      <c r="X338" s="11"/>
      <c r="Y338" s="11"/>
      <c r="Z338" s="11"/>
      <c r="AA338" s="11"/>
      <c r="AB338" s="11"/>
      <c r="AC338" s="11"/>
      <c r="AD338" s="11" t="s">
        <v>1221</v>
      </c>
      <c r="AE338" s="12"/>
      <c r="AF338" s="11"/>
    </row>
    <row r="339" spans="1:32" ht="45" hidden="1" x14ac:dyDescent="0.25">
      <c r="A339" s="11"/>
      <c r="B339" s="11">
        <v>214383</v>
      </c>
      <c r="C339" s="11" t="s">
        <v>872</v>
      </c>
      <c r="D339" s="11" t="str">
        <f>MID(Table22[[#This Row],[تاريخ تاييد]],1,7)</f>
        <v>1404/03</v>
      </c>
      <c r="E339" s="11" t="str">
        <f>MID(Table22[[#This Row],[تاريخ تاييد]],6,2)</f>
        <v>03</v>
      </c>
      <c r="F339" s="11"/>
      <c r="G339" s="11" t="str">
        <f>VLOOKUP(Table22[[#This Row],[شماره فني]],Sheet7!A:C,3,0)</f>
        <v>کلید شیشه بالابر</v>
      </c>
      <c r="H339" s="11" t="str">
        <f>VLOOKUP(Table22[[#This Row],[شماره فني]],Sheet7!A:B,2,0)</f>
        <v>کلید شیشه بالابر جلو چپ دنا</v>
      </c>
      <c r="I339" s="11" t="s">
        <v>875</v>
      </c>
      <c r="J339" s="11"/>
      <c r="K339" s="11"/>
      <c r="L339" s="11"/>
      <c r="M339" s="11"/>
      <c r="N339" s="11"/>
      <c r="O339" s="11"/>
      <c r="P339" s="11"/>
      <c r="Q339" s="11"/>
      <c r="R339" s="11"/>
      <c r="S339" s="11"/>
      <c r="T339" s="11"/>
      <c r="U339" s="11"/>
      <c r="V339" s="11">
        <v>1</v>
      </c>
      <c r="W339" s="11" t="s">
        <v>387</v>
      </c>
      <c r="X339" s="11"/>
      <c r="Y339" s="11"/>
      <c r="Z339" s="11"/>
      <c r="AA339" s="11"/>
      <c r="AB339" s="11"/>
      <c r="AC339" s="11"/>
      <c r="AD339" s="11" t="s">
        <v>1221</v>
      </c>
      <c r="AE339" s="12"/>
      <c r="AF339" s="11"/>
    </row>
    <row r="340" spans="1:32" ht="30" hidden="1" x14ac:dyDescent="0.25">
      <c r="A340" s="11"/>
      <c r="B340" s="11">
        <v>219292</v>
      </c>
      <c r="C340" s="11" t="s">
        <v>1096</v>
      </c>
      <c r="D340" s="11" t="str">
        <f>MID(Table22[[#This Row],[تاريخ تاييد]],1,7)</f>
        <v>1404/06</v>
      </c>
      <c r="E340" s="11" t="str">
        <f>MID(Table22[[#This Row],[تاريخ تاييد]],6,2)</f>
        <v>06</v>
      </c>
      <c r="F340" s="11"/>
      <c r="G340" s="11" t="str">
        <f>VLOOKUP(Table22[[#This Row],[شماره فني]],Sheet7!A:C,3,0)</f>
        <v>کلید شیشه بالابر</v>
      </c>
      <c r="H340" s="11" t="str">
        <f>VLOOKUP(Table22[[#This Row],[شماره فني]],Sheet7!A:B,2,0)</f>
        <v>کلید شیشه بالابر جلو چپ دنا</v>
      </c>
      <c r="I340" s="11" t="s">
        <v>1097</v>
      </c>
      <c r="J340" s="11"/>
      <c r="K340" s="11"/>
      <c r="L340" s="11"/>
      <c r="M340" s="11"/>
      <c r="N340" s="11"/>
      <c r="O340" s="11"/>
      <c r="P340" s="11"/>
      <c r="Q340" s="11"/>
      <c r="R340" s="11"/>
      <c r="S340" s="11"/>
      <c r="T340" s="11"/>
      <c r="U340" s="11"/>
      <c r="V340" s="11">
        <v>1</v>
      </c>
      <c r="W340" s="11" t="s">
        <v>387</v>
      </c>
      <c r="X340" s="11"/>
      <c r="Y340" s="11"/>
      <c r="Z340" s="11"/>
      <c r="AA340" s="11"/>
      <c r="AB340" s="11"/>
      <c r="AC340" s="11"/>
      <c r="AD340" s="11" t="s">
        <v>1221</v>
      </c>
      <c r="AE340" s="12"/>
      <c r="AF340" s="11"/>
    </row>
    <row r="341" spans="1:32" ht="30" hidden="1" x14ac:dyDescent="0.25">
      <c r="A341" s="11"/>
      <c r="B341" s="11">
        <v>219555</v>
      </c>
      <c r="C341" s="11" t="s">
        <v>1026</v>
      </c>
      <c r="D341" s="11" t="str">
        <f>MID(Table22[[#This Row],[تاريخ تاييد]],1,7)</f>
        <v>1404/06</v>
      </c>
      <c r="E341" s="11" t="str">
        <f>MID(Table22[[#This Row],[تاريخ تاييد]],6,2)</f>
        <v>06</v>
      </c>
      <c r="F341" s="11"/>
      <c r="G341" s="11" t="str">
        <f>VLOOKUP(Table22[[#This Row],[شماره فني]],Sheet7!A:C,3,0)</f>
        <v>کلید شیشه بالابر</v>
      </c>
      <c r="H341" s="11" t="str">
        <f>VLOOKUP(Table22[[#This Row],[شماره فني]],Sheet7!A:B,2,0)</f>
        <v>کلید شیشه بالابر جلو چپ دنا</v>
      </c>
      <c r="I341" s="11" t="s">
        <v>1032</v>
      </c>
      <c r="J341" s="11"/>
      <c r="K341" s="11"/>
      <c r="L341" s="11"/>
      <c r="M341" s="11"/>
      <c r="N341" s="11"/>
      <c r="O341" s="11"/>
      <c r="P341" s="11"/>
      <c r="Q341" s="11"/>
      <c r="R341" s="11"/>
      <c r="S341" s="11"/>
      <c r="T341" s="11"/>
      <c r="U341" s="11"/>
      <c r="V341" s="11">
        <v>1</v>
      </c>
      <c r="W341" s="11" t="s">
        <v>387</v>
      </c>
      <c r="X341" s="11"/>
      <c r="Y341" s="11"/>
      <c r="Z341" s="11"/>
      <c r="AA341" s="11"/>
      <c r="AB341" s="11"/>
      <c r="AC341" s="11"/>
      <c r="AD341" s="11" t="s">
        <v>1221</v>
      </c>
      <c r="AE341" s="12"/>
      <c r="AF341" s="11"/>
    </row>
    <row r="342" spans="1:32" ht="30" hidden="1" x14ac:dyDescent="0.25">
      <c r="A342" s="11"/>
      <c r="B342" s="11">
        <v>221907</v>
      </c>
      <c r="C342" s="11" t="s">
        <v>1107</v>
      </c>
      <c r="D342" s="11" t="str">
        <f>MID(Table22[[#This Row],[تاريخ تاييد]],1,7)</f>
        <v>1404/08</v>
      </c>
      <c r="E342" s="11" t="str">
        <f>MID(Table22[[#This Row],[تاريخ تاييد]],6,2)</f>
        <v>08</v>
      </c>
      <c r="F342" s="11"/>
      <c r="G342" s="11" t="str">
        <f>VLOOKUP(Table22[[#This Row],[شماره فني]],Sheet7!A:C,3,0)</f>
        <v>کلید شیشه بالابر</v>
      </c>
      <c r="H342" s="11" t="str">
        <f>VLOOKUP(Table22[[#This Row],[شماره فني]],Sheet7!A:B,2,0)</f>
        <v>کلید شیشه بالابر جلو چپ دنا</v>
      </c>
      <c r="I342" s="11" t="s">
        <v>1106</v>
      </c>
      <c r="J342" s="11"/>
      <c r="K342" s="11"/>
      <c r="L342" s="11"/>
      <c r="M342" s="11"/>
      <c r="N342" s="11"/>
      <c r="O342" s="11"/>
      <c r="P342" s="11"/>
      <c r="Q342" s="11"/>
      <c r="R342" s="11"/>
      <c r="S342" s="11"/>
      <c r="T342" s="11"/>
      <c r="U342" s="11"/>
      <c r="V342" s="11">
        <v>1</v>
      </c>
      <c r="W342" s="11" t="s">
        <v>387</v>
      </c>
      <c r="X342" s="11"/>
      <c r="Y342" s="11"/>
      <c r="Z342" s="11"/>
      <c r="AA342" s="11"/>
      <c r="AB342" s="11"/>
      <c r="AC342" s="11"/>
      <c r="AD342" s="11" t="s">
        <v>1221</v>
      </c>
      <c r="AE342" s="12"/>
      <c r="AF342" s="11"/>
    </row>
    <row r="343" spans="1:32" ht="30" hidden="1" x14ac:dyDescent="0.25">
      <c r="A343" s="11"/>
      <c r="B343" s="11">
        <v>221366</v>
      </c>
      <c r="C343" s="11" t="s">
        <v>1083</v>
      </c>
      <c r="D343" s="11" t="str">
        <f>MID(Table22[[#This Row],[تاريخ تاييد]],1,7)</f>
        <v>1404/08</v>
      </c>
      <c r="E343" s="11" t="str">
        <f>MID(Table22[[#This Row],[تاريخ تاييد]],6,2)</f>
        <v>08</v>
      </c>
      <c r="F343" s="11"/>
      <c r="G343" s="11" t="str">
        <f>VLOOKUP(Table22[[#This Row],[شماره فني]],Sheet7!A:C,3,0)</f>
        <v>کلید شیشه بالابر</v>
      </c>
      <c r="H343" s="11" t="str">
        <f>VLOOKUP(Table22[[#This Row],[شماره فني]],Sheet7!A:B,2,0)</f>
        <v>کلید شیشه بالابرعقب 207</v>
      </c>
      <c r="I343" s="11" t="s">
        <v>1088</v>
      </c>
      <c r="J343" s="11"/>
      <c r="K343" s="11"/>
      <c r="L343" s="11"/>
      <c r="M343" s="11"/>
      <c r="N343" s="11"/>
      <c r="O343" s="11"/>
      <c r="P343" s="11"/>
      <c r="Q343" s="11"/>
      <c r="R343" s="11"/>
      <c r="S343" s="11"/>
      <c r="T343" s="11"/>
      <c r="U343" s="11"/>
      <c r="V343" s="11">
        <v>1</v>
      </c>
      <c r="W343" s="11" t="s">
        <v>1069</v>
      </c>
      <c r="X343" s="11"/>
      <c r="Y343" s="11"/>
      <c r="Z343" s="11"/>
      <c r="AA343" s="11"/>
      <c r="AB343" s="11"/>
      <c r="AC343" s="11"/>
      <c r="AD343" s="11" t="s">
        <v>1221</v>
      </c>
      <c r="AE343" s="12"/>
      <c r="AF343" s="11"/>
    </row>
    <row r="344" spans="1:32" ht="30" hidden="1" x14ac:dyDescent="0.25">
      <c r="A344" s="11"/>
      <c r="B344" s="11">
        <v>213316</v>
      </c>
      <c r="C344" s="11" t="s">
        <v>858</v>
      </c>
      <c r="D344" s="11" t="str">
        <f>MID(Table22[[#This Row],[تاريخ تاييد]],1,7)</f>
        <v>1404/02</v>
      </c>
      <c r="E344" s="11" t="str">
        <f>MID(Table22[[#This Row],[تاريخ تاييد]],6,2)</f>
        <v>02</v>
      </c>
      <c r="F344" s="11"/>
      <c r="G344" s="11" t="str">
        <f>VLOOKUP(Table22[[#This Row],[شماره فني]],Sheet7!A:C,3,0)</f>
        <v>کلید شیشه بالابر</v>
      </c>
      <c r="H344" s="11" t="str">
        <f>VLOOKUP(Table22[[#This Row],[شماره فني]],Sheet7!A:B,2,0)</f>
        <v>کلید شیشه بالابرعقب دنا</v>
      </c>
      <c r="I344" s="11" t="s">
        <v>861</v>
      </c>
      <c r="J344" s="11"/>
      <c r="K344" s="11"/>
      <c r="L344" s="11"/>
      <c r="M344" s="11"/>
      <c r="N344" s="11"/>
      <c r="O344" s="11"/>
      <c r="P344" s="11"/>
      <c r="Q344" s="11"/>
      <c r="R344" s="11"/>
      <c r="S344" s="11"/>
      <c r="T344" s="11"/>
      <c r="U344" s="11"/>
      <c r="V344" s="11">
        <v>1</v>
      </c>
      <c r="W344" s="11" t="s">
        <v>664</v>
      </c>
      <c r="X344" s="11"/>
      <c r="Y344" s="11"/>
      <c r="Z344" s="11"/>
      <c r="AA344" s="11"/>
      <c r="AB344" s="11"/>
      <c r="AC344" s="11"/>
      <c r="AD344" s="11" t="s">
        <v>1221</v>
      </c>
      <c r="AE344" s="12"/>
      <c r="AF344" s="11"/>
    </row>
    <row r="345" spans="1:32" ht="30" hidden="1" x14ac:dyDescent="0.25">
      <c r="A345" s="11"/>
      <c r="B345" s="11">
        <v>220815</v>
      </c>
      <c r="C345" s="11" t="s">
        <v>1064</v>
      </c>
      <c r="D345" s="11" t="str">
        <f>MID(Table22[[#This Row],[تاريخ تاييد]],1,7)</f>
        <v>1404/07</v>
      </c>
      <c r="E345" s="11" t="str">
        <f>MID(Table22[[#This Row],[تاريخ تاييد]],6,2)</f>
        <v>07</v>
      </c>
      <c r="F345" s="11"/>
      <c r="G345" s="11" t="str">
        <f>VLOOKUP(Table22[[#This Row],[شماره فني]],Sheet7!A:C,3,0)</f>
        <v>کلید شیشه بالابر</v>
      </c>
      <c r="H345" s="11" t="str">
        <f>VLOOKUP(Table22[[#This Row],[شماره فني]],Sheet7!A:B,2,0)</f>
        <v>کلید شیشه بالابرعقب 207</v>
      </c>
      <c r="I345" s="11" t="s">
        <v>1075</v>
      </c>
      <c r="J345" s="11"/>
      <c r="K345" s="11"/>
      <c r="L345" s="11"/>
      <c r="M345" s="11"/>
      <c r="N345" s="11"/>
      <c r="O345" s="11"/>
      <c r="P345" s="11"/>
      <c r="Q345" s="11"/>
      <c r="R345" s="11"/>
      <c r="S345" s="11"/>
      <c r="T345" s="11"/>
      <c r="U345" s="11"/>
      <c r="V345" s="11">
        <v>12</v>
      </c>
      <c r="W345" s="11" t="s">
        <v>1069</v>
      </c>
      <c r="X345" s="11"/>
      <c r="Y345" s="11"/>
      <c r="Z345" s="11"/>
      <c r="AA345" s="11"/>
      <c r="AB345" s="11"/>
      <c r="AC345" s="11"/>
      <c r="AD345" s="11" t="s">
        <v>1221</v>
      </c>
      <c r="AE345" s="12"/>
      <c r="AF345" s="11"/>
    </row>
    <row r="346" spans="1:32" ht="30" hidden="1" x14ac:dyDescent="0.25">
      <c r="A346" s="11"/>
      <c r="B346" s="11">
        <v>221088</v>
      </c>
      <c r="C346" s="11" t="s">
        <v>1067</v>
      </c>
      <c r="D346" s="11" t="str">
        <f>MID(Table22[[#This Row],[تاريخ تاييد]],1,7)</f>
        <v>1404/07</v>
      </c>
      <c r="E346" s="11" t="str">
        <f>MID(Table22[[#This Row],[تاريخ تاييد]],6,2)</f>
        <v>07</v>
      </c>
      <c r="F346" s="11"/>
      <c r="G346" s="11" t="str">
        <f>VLOOKUP(Table22[[#This Row],[شماره فني]],Sheet7!A:C,3,0)</f>
        <v>کلید شیشه بالابر</v>
      </c>
      <c r="H346" s="11" t="str">
        <f>VLOOKUP(Table22[[#This Row],[شماره فني]],Sheet7!A:B,2,0)</f>
        <v>کلید شیشه بالابرعقب 207</v>
      </c>
      <c r="I346" s="11" t="s">
        <v>1079</v>
      </c>
      <c r="J346" s="11"/>
      <c r="K346" s="11"/>
      <c r="L346" s="11"/>
      <c r="M346" s="11"/>
      <c r="N346" s="11"/>
      <c r="O346" s="11"/>
      <c r="P346" s="11"/>
      <c r="Q346" s="11"/>
      <c r="R346" s="11"/>
      <c r="S346" s="11"/>
      <c r="T346" s="11"/>
      <c r="U346" s="11"/>
      <c r="V346" s="11">
        <v>3</v>
      </c>
      <c r="W346" s="11" t="s">
        <v>1069</v>
      </c>
      <c r="X346" s="11"/>
      <c r="Y346" s="11"/>
      <c r="Z346" s="11"/>
      <c r="AA346" s="11"/>
      <c r="AB346" s="11"/>
      <c r="AC346" s="11"/>
      <c r="AD346" s="11" t="s">
        <v>1221</v>
      </c>
      <c r="AE346" s="12"/>
      <c r="AF346" s="11"/>
    </row>
    <row r="347" spans="1:32" ht="30" hidden="1" x14ac:dyDescent="0.25">
      <c r="A347" s="11"/>
      <c r="B347" s="11">
        <v>224109</v>
      </c>
      <c r="C347" s="11" t="s">
        <v>1240</v>
      </c>
      <c r="D347" s="11" t="str">
        <f>MID(Table22[[#This Row],[تاريخ تاييد]],1,7)</f>
        <v>1404/09</v>
      </c>
      <c r="E347" s="11" t="str">
        <f>MID(Table22[[#This Row],[تاريخ تاييد]],6,2)</f>
        <v>09</v>
      </c>
      <c r="F347" s="11"/>
      <c r="G347" s="11" t="e">
        <f>VLOOKUP(Table22[[#This Row],[شماره فني]],Sheet7!A:C,3,0)</f>
        <v>#N/A</v>
      </c>
      <c r="H347" s="11" t="e">
        <f>VLOOKUP(Table22[[#This Row],[شماره فني]],Sheet7!A:B,2,0)</f>
        <v>#N/A</v>
      </c>
      <c r="I347" s="11" t="s">
        <v>1215</v>
      </c>
      <c r="J347" s="11"/>
      <c r="K347" s="11"/>
      <c r="L347" s="11"/>
      <c r="M347" s="11"/>
      <c r="N347" s="11"/>
      <c r="O347" s="11"/>
      <c r="P347" s="11"/>
      <c r="Q347" s="11"/>
      <c r="R347" s="11"/>
      <c r="S347" s="11"/>
      <c r="T347" s="11"/>
      <c r="U347" s="11"/>
      <c r="V347" s="11">
        <v>10</v>
      </c>
      <c r="W347" s="11" t="s">
        <v>1222</v>
      </c>
      <c r="X347" s="11"/>
      <c r="Y347" s="11"/>
      <c r="Z347" s="11"/>
      <c r="AA347" s="11"/>
      <c r="AB347" s="11"/>
      <c r="AC347" s="11"/>
      <c r="AD347" s="11" t="s">
        <v>1221</v>
      </c>
      <c r="AE347" s="12"/>
      <c r="AF347" s="11"/>
    </row>
    <row r="348" spans="1:32" ht="30" hidden="1" x14ac:dyDescent="0.25">
      <c r="A348" s="11"/>
      <c r="B348" s="11">
        <v>221737</v>
      </c>
      <c r="C348" s="11" t="s">
        <v>1085</v>
      </c>
      <c r="D348" s="11" t="str">
        <f>MID(Table22[[#This Row],[تاريخ تاييد]],1,7)</f>
        <v>1404/08</v>
      </c>
      <c r="E348" s="11" t="str">
        <f>MID(Table22[[#This Row],[تاريخ تاييد]],6,2)</f>
        <v>08</v>
      </c>
      <c r="F348" s="11"/>
      <c r="G348" s="11" t="e">
        <f>VLOOKUP(Table22[[#This Row],[شماره فني]],Sheet7!A:C,3,0)</f>
        <v>#N/A</v>
      </c>
      <c r="H348" s="11" t="e">
        <f>VLOOKUP(Table22[[#This Row],[شماره فني]],Sheet7!A:B,2,0)</f>
        <v>#N/A</v>
      </c>
      <c r="I348" s="11" t="s">
        <v>1216</v>
      </c>
      <c r="J348" s="11"/>
      <c r="K348" s="11"/>
      <c r="L348" s="11"/>
      <c r="M348" s="11"/>
      <c r="N348" s="11"/>
      <c r="O348" s="11"/>
      <c r="P348" s="11"/>
      <c r="Q348" s="11"/>
      <c r="R348" s="11"/>
      <c r="S348" s="11"/>
      <c r="T348" s="11"/>
      <c r="U348" s="11"/>
      <c r="V348" s="11">
        <v>10</v>
      </c>
      <c r="W348" s="11" t="s">
        <v>1224</v>
      </c>
      <c r="X348" s="11"/>
      <c r="Y348" s="11"/>
      <c r="Z348" s="11"/>
      <c r="AA348" s="11"/>
      <c r="AB348" s="11"/>
      <c r="AC348" s="11"/>
      <c r="AD348" s="11" t="s">
        <v>1221</v>
      </c>
      <c r="AE348" s="12"/>
      <c r="AF348" s="11"/>
    </row>
    <row r="349" spans="1:32" ht="30" hidden="1" x14ac:dyDescent="0.25">
      <c r="A349" s="11"/>
      <c r="B349" s="11">
        <v>218315</v>
      </c>
      <c r="C349" s="11" t="s">
        <v>1013</v>
      </c>
      <c r="D349" s="11" t="str">
        <f>MID(Table22[[#This Row],[تاريخ تاييد]],1,7)</f>
        <v>1404/06</v>
      </c>
      <c r="E349" s="11" t="str">
        <f>MID(Table22[[#This Row],[تاريخ تاييد]],6,2)</f>
        <v>06</v>
      </c>
      <c r="F349" s="11"/>
      <c r="G349" s="11" t="str">
        <f>VLOOKUP(Table22[[#This Row],[شماره فني]],Sheet7!A:C,3,0)</f>
        <v>کلید شیشه بالابر</v>
      </c>
      <c r="H349" s="11" t="str">
        <f>VLOOKUP(Table22[[#This Row],[شماره فني]],Sheet7!A:B,2,0)</f>
        <v>کلید شیشه بالابر جلو راست سورن</v>
      </c>
      <c r="I349" s="11" t="s">
        <v>1008</v>
      </c>
      <c r="J349" s="11"/>
      <c r="K349" s="11"/>
      <c r="L349" s="11"/>
      <c r="M349" s="11"/>
      <c r="N349" s="11"/>
      <c r="O349" s="11"/>
      <c r="P349" s="11"/>
      <c r="Q349" s="11"/>
      <c r="R349" s="11"/>
      <c r="S349" s="11"/>
      <c r="T349" s="11"/>
      <c r="U349" s="11"/>
      <c r="V349" s="11">
        <v>10</v>
      </c>
      <c r="W349" s="11" t="s">
        <v>205</v>
      </c>
      <c r="X349" s="11"/>
      <c r="Y349" s="11"/>
      <c r="Z349" s="11"/>
      <c r="AA349" s="11"/>
      <c r="AB349" s="11"/>
      <c r="AC349" s="11"/>
      <c r="AD349" s="11" t="s">
        <v>1221</v>
      </c>
      <c r="AE349" s="12"/>
      <c r="AF349" s="11"/>
    </row>
    <row r="350" spans="1:32" ht="30" hidden="1" x14ac:dyDescent="0.25">
      <c r="A350" s="11"/>
      <c r="B350" s="11">
        <v>211759</v>
      </c>
      <c r="C350" s="11" t="s">
        <v>711</v>
      </c>
      <c r="D350" s="11" t="str">
        <f>MID(Table22[[#This Row],[تاريخ تاييد]],1,7)</f>
        <v>1404/01</v>
      </c>
      <c r="E350" s="11" t="str">
        <f>MID(Table22[[#This Row],[تاريخ تاييد]],6,2)</f>
        <v>01</v>
      </c>
      <c r="F350" s="11"/>
      <c r="G350" s="11" t="str">
        <f>VLOOKUP(Table22[[#This Row],[شماره فني]],Sheet7!A:C,3,0)</f>
        <v>کلید شیشه بالابر</v>
      </c>
      <c r="H350" s="11" t="str">
        <f>VLOOKUP(Table22[[#This Row],[شماره فني]],Sheet7!A:B,2,0)</f>
        <v>کلید شیشه بالابر عقب چپ سورن</v>
      </c>
      <c r="I350" s="11" t="s">
        <v>718</v>
      </c>
      <c r="J350" s="11"/>
      <c r="K350" s="11"/>
      <c r="L350" s="11"/>
      <c r="M350" s="11"/>
      <c r="N350" s="11"/>
      <c r="O350" s="11"/>
      <c r="P350" s="11"/>
      <c r="Q350" s="11"/>
      <c r="R350" s="11"/>
      <c r="S350" s="11"/>
      <c r="T350" s="11"/>
      <c r="U350" s="11"/>
      <c r="V350" s="11">
        <v>5</v>
      </c>
      <c r="W350" s="11" t="s">
        <v>287</v>
      </c>
      <c r="X350" s="11"/>
      <c r="Y350" s="11"/>
      <c r="Z350" s="11"/>
      <c r="AA350" s="11"/>
      <c r="AB350" s="11"/>
      <c r="AC350" s="11"/>
      <c r="AD350" s="11" t="s">
        <v>1221</v>
      </c>
      <c r="AE350" s="12"/>
      <c r="AF350" s="11"/>
    </row>
    <row r="351" spans="1:32" ht="30" hidden="1" x14ac:dyDescent="0.25">
      <c r="A351" s="11"/>
      <c r="B351" s="11">
        <v>223668</v>
      </c>
      <c r="C351" s="11" t="s">
        <v>1241</v>
      </c>
      <c r="D351" s="11" t="str">
        <f>MID(Table22[[#This Row],[تاريخ تاييد]],1,7)</f>
        <v>1404/09</v>
      </c>
      <c r="E351" s="11" t="str">
        <f>MID(Table22[[#This Row],[تاريخ تاييد]],6,2)</f>
        <v>09</v>
      </c>
      <c r="F351" s="11"/>
      <c r="G351" s="11" t="e">
        <f>VLOOKUP(Table22[[#This Row],[شماره فني]],Sheet7!A:C,3,0)</f>
        <v>#N/A</v>
      </c>
      <c r="H351" s="11" t="e">
        <f>VLOOKUP(Table22[[#This Row],[شماره فني]],Sheet7!A:B,2,0)</f>
        <v>#N/A</v>
      </c>
      <c r="I351" s="11" t="s">
        <v>1217</v>
      </c>
      <c r="J351" s="11"/>
      <c r="K351" s="11"/>
      <c r="L351" s="11"/>
      <c r="M351" s="11"/>
      <c r="N351" s="11"/>
      <c r="O351" s="11"/>
      <c r="P351" s="11"/>
      <c r="Q351" s="11"/>
      <c r="R351" s="11"/>
      <c r="S351" s="11"/>
      <c r="T351" s="11"/>
      <c r="U351" s="11"/>
      <c r="V351" s="11">
        <v>3</v>
      </c>
      <c r="W351" s="11" t="s">
        <v>1222</v>
      </c>
      <c r="X351" s="11"/>
      <c r="Y351" s="11"/>
      <c r="Z351" s="11"/>
      <c r="AA351" s="11"/>
      <c r="AB351" s="11"/>
      <c r="AC351" s="11"/>
      <c r="AD351" s="11" t="s">
        <v>1221</v>
      </c>
      <c r="AE351" s="12"/>
      <c r="AF351" s="11"/>
    </row>
    <row r="352" spans="1:32" ht="30" hidden="1" x14ac:dyDescent="0.25">
      <c r="A352" s="11"/>
      <c r="B352" s="11">
        <v>223219</v>
      </c>
      <c r="C352" s="11" t="s">
        <v>1140</v>
      </c>
      <c r="D352" s="11" t="str">
        <f>MID(Table22[[#This Row],[تاريخ تاييد]],1,7)</f>
        <v>1404/09</v>
      </c>
      <c r="E352" s="11" t="str">
        <f>MID(Table22[[#This Row],[تاريخ تاييد]],6,2)</f>
        <v>09</v>
      </c>
      <c r="F352" s="11"/>
      <c r="G352" s="11" t="e">
        <f>VLOOKUP(Table22[[#This Row],[شماره فني]],Sheet7!A:C,3,0)</f>
        <v>#N/A</v>
      </c>
      <c r="H352" s="11" t="e">
        <f>VLOOKUP(Table22[[#This Row],[شماره فني]],Sheet7!A:B,2,0)</f>
        <v>#N/A</v>
      </c>
      <c r="I352" s="11" t="s">
        <v>1218</v>
      </c>
      <c r="J352" s="11"/>
      <c r="K352" s="11"/>
      <c r="L352" s="11"/>
      <c r="M352" s="11"/>
      <c r="N352" s="11"/>
      <c r="O352" s="11"/>
      <c r="P352" s="11"/>
      <c r="Q352" s="11"/>
      <c r="R352" s="11"/>
      <c r="S352" s="11"/>
      <c r="T352" s="11"/>
      <c r="U352" s="11"/>
      <c r="V352" s="11">
        <v>10</v>
      </c>
      <c r="W352" s="11" t="s">
        <v>1223</v>
      </c>
      <c r="X352" s="11"/>
      <c r="Y352" s="11"/>
      <c r="Z352" s="11"/>
      <c r="AA352" s="11"/>
      <c r="AB352" s="11"/>
      <c r="AC352" s="11"/>
      <c r="AD352" s="11" t="s">
        <v>1221</v>
      </c>
      <c r="AE352" s="12"/>
      <c r="AF352" s="11"/>
    </row>
  </sheetData>
  <hyperlinks>
    <hyperlink ref="AF96" r:id="rId1" xr:uid="{A0FC04F2-C2C7-4B2C-ADEB-1637878AA1AE}"/>
    <hyperlink ref="AF103" r:id="rId2" xr:uid="{3D9B1CED-E4AA-468D-98FA-6540527A9D55}"/>
    <hyperlink ref="AF92" r:id="rId3" xr:uid="{6236F647-16A3-4B32-98EB-DFA0C5323769}"/>
    <hyperlink ref="AF97" r:id="rId4" xr:uid="{C830FA70-9193-4D6D-A8A1-076EAFE4D6D0}"/>
    <hyperlink ref="AF87" r:id="rId5" xr:uid="{0741DB09-4ACC-46DC-8AA7-515E6A3E4554}"/>
    <hyperlink ref="AF173" r:id="rId6" xr:uid="{BAD644AC-CBD2-433B-A36F-D92E2FBCD2F5}"/>
  </hyperlinks>
  <printOptions horizontalCentered="1"/>
  <pageMargins left="0" right="0" top="0" bottom="0" header="0.3" footer="0.3"/>
  <pageSetup paperSize="9" scale="10" orientation="landscape" r:id="rId7"/>
  <headerFooter>
    <oddHeader>&amp;A</oddHeader>
  </headerFooter>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G322"/>
  <sheetViews>
    <sheetView rightToLeft="1" tabSelected="1" zoomScaleNormal="100" zoomScaleSheetLayoutView="50" workbookViewId="0">
      <pane ySplit="1" topLeftCell="A285" activePane="bottomLeft" state="frozen"/>
      <selection pane="bottomLeft" activeCell="A307" sqref="A307"/>
    </sheetView>
  </sheetViews>
  <sheetFormatPr defaultColWidth="9.140625" defaultRowHeight="15" x14ac:dyDescent="0.25"/>
  <cols>
    <col min="1" max="1" width="10.85546875" customWidth="1"/>
    <col min="2" max="2" width="7.42578125" customWidth="1"/>
    <col min="3" max="3" width="12.42578125" bestFit="1" customWidth="1"/>
    <col min="4" max="5" width="10.5703125" customWidth="1"/>
    <col min="6" max="6" width="10.7109375" customWidth="1"/>
    <col min="7" max="7" width="11.7109375" customWidth="1"/>
    <col min="8" max="8" width="22.28515625" customWidth="1"/>
    <col min="9" max="9" width="34.140625" customWidth="1"/>
    <col min="10" max="10" width="87.140625" customWidth="1"/>
    <col min="11" max="11" width="30" customWidth="1"/>
    <col min="12" max="12" width="12" customWidth="1"/>
    <col min="13" max="13" width="13.7109375" customWidth="1"/>
    <col min="14" max="14" width="14.85546875" customWidth="1"/>
    <col min="15" max="15" width="21" customWidth="1"/>
    <col min="16" max="16" width="13.42578125" customWidth="1"/>
    <col min="17" max="17" width="21.85546875" customWidth="1"/>
    <col min="18" max="18" width="50.28515625" customWidth="1"/>
    <col min="19" max="19" width="34.7109375" customWidth="1"/>
    <col min="20" max="20" width="28.28515625" customWidth="1"/>
    <col min="21" max="21" width="33.28515625" customWidth="1"/>
    <col min="22" max="22" width="31.140625" customWidth="1"/>
    <col min="23" max="23" width="17.85546875" customWidth="1"/>
    <col min="24" max="24" width="12.5703125" customWidth="1"/>
    <col min="25" max="25" width="20.140625" customWidth="1"/>
    <col min="26" max="26" width="17.28515625" customWidth="1"/>
    <col min="27" max="27" width="12.85546875" customWidth="1"/>
    <col min="28" max="28" width="10" customWidth="1"/>
    <col min="29" max="29" width="19.42578125" customWidth="1"/>
    <col min="30" max="30" width="15.42578125" customWidth="1"/>
    <col min="31" max="31" width="14" bestFit="1" customWidth="1"/>
    <col min="32" max="32" width="44.42578125" style="13" customWidth="1"/>
    <col min="33" max="33" width="10.28515625" bestFit="1" customWidth="1"/>
  </cols>
  <sheetData>
    <row r="1" spans="1:33" s="3" customFormat="1" x14ac:dyDescent="0.25">
      <c r="A1" s="3" t="s">
        <v>548</v>
      </c>
      <c r="B1" s="3" t="s">
        <v>0</v>
      </c>
      <c r="C1" s="3" t="s">
        <v>7</v>
      </c>
      <c r="D1" s="3" t="s">
        <v>10</v>
      </c>
      <c r="E1" s="3" t="s">
        <v>842</v>
      </c>
      <c r="F1" s="3" t="s">
        <v>549</v>
      </c>
      <c r="G1" s="3" t="s">
        <v>617</v>
      </c>
      <c r="H1" s="3" t="s">
        <v>254</v>
      </c>
      <c r="I1" s="3" t="s">
        <v>9</v>
      </c>
      <c r="J1" s="3" t="s">
        <v>252</v>
      </c>
      <c r="K1" s="3" t="s">
        <v>253</v>
      </c>
      <c r="L1" s="3" t="s">
        <v>4</v>
      </c>
      <c r="M1" s="3" t="s">
        <v>554</v>
      </c>
      <c r="N1" s="3" t="s">
        <v>5</v>
      </c>
      <c r="O1" s="3" t="s">
        <v>555</v>
      </c>
      <c r="P1" s="3" t="s">
        <v>6</v>
      </c>
      <c r="Q1" s="3" t="s">
        <v>556</v>
      </c>
      <c r="R1" s="3" t="s">
        <v>557</v>
      </c>
      <c r="S1" s="3" t="s">
        <v>558</v>
      </c>
      <c r="T1" s="3" t="s">
        <v>559</v>
      </c>
      <c r="U1" s="3" t="s">
        <v>12</v>
      </c>
      <c r="V1" s="3" t="s">
        <v>560</v>
      </c>
      <c r="W1" s="3" t="s">
        <v>11</v>
      </c>
      <c r="X1" s="3" t="s">
        <v>8</v>
      </c>
      <c r="Y1" s="3" t="s">
        <v>125</v>
      </c>
      <c r="Z1" s="3" t="s">
        <v>1</v>
      </c>
      <c r="AA1" s="3" t="s">
        <v>2</v>
      </c>
      <c r="AB1" s="3" t="s">
        <v>24</v>
      </c>
      <c r="AC1" s="3" t="s">
        <v>959</v>
      </c>
      <c r="AD1" s="3" t="s">
        <v>25</v>
      </c>
      <c r="AE1" s="3" t="s">
        <v>550</v>
      </c>
      <c r="AF1" s="13" t="s">
        <v>3</v>
      </c>
      <c r="AG1" s="3" t="s">
        <v>347</v>
      </c>
    </row>
    <row r="2" spans="1:33" ht="30" hidden="1" x14ac:dyDescent="0.25">
      <c r="A2" s="11">
        <v>1</v>
      </c>
      <c r="B2" s="3" t="s">
        <v>261</v>
      </c>
      <c r="C2" s="11">
        <v>194290</v>
      </c>
      <c r="D2" s="11" t="s">
        <v>34</v>
      </c>
      <c r="E2" s="11" t="str">
        <f>MID(Table2[[#This Row],[تاريخ تاييد]],1,7)</f>
        <v>1403/01</v>
      </c>
      <c r="F2" s="11" t="str">
        <f>MID(Table2[[#This Row],[تاريخ تاييد]],6,2)</f>
        <v>01</v>
      </c>
      <c r="G2" s="11" t="s">
        <v>618</v>
      </c>
      <c r="H2" s="11" t="str">
        <f>VLOOKUP(Table2[[#This Row],[شماره فني]],Sheet7!A:C,3,0)</f>
        <v>NOD</v>
      </c>
      <c r="I2" s="11" t="str">
        <f>VLOOKUP(Table2[[#This Row],[شماره فني]],Sheet7!A:B,2,0)</f>
        <v>NBCM DENA</v>
      </c>
      <c r="J2" s="11" t="s">
        <v>35</v>
      </c>
      <c r="K2" s="11" t="s">
        <v>725</v>
      </c>
      <c r="L2" s="11" t="s">
        <v>261</v>
      </c>
      <c r="M2" s="11" t="s">
        <v>261</v>
      </c>
      <c r="N2" s="11" t="s">
        <v>261</v>
      </c>
      <c r="O2" s="11" t="s">
        <v>261</v>
      </c>
      <c r="P2" s="11" t="s">
        <v>261</v>
      </c>
      <c r="Q2" s="11" t="s">
        <v>261</v>
      </c>
      <c r="R2" s="11" t="s">
        <v>261</v>
      </c>
      <c r="S2" s="11" t="s">
        <v>261</v>
      </c>
      <c r="T2" s="11" t="s">
        <v>739</v>
      </c>
      <c r="U2" s="11" t="s">
        <v>739</v>
      </c>
      <c r="V2" s="11" t="s">
        <v>739</v>
      </c>
      <c r="W2" s="11">
        <v>1</v>
      </c>
      <c r="X2" s="11" t="s">
        <v>16</v>
      </c>
      <c r="Y2" s="11" t="s">
        <v>261</v>
      </c>
      <c r="Z2" s="11" t="s">
        <v>65</v>
      </c>
      <c r="AA2" s="11" t="s">
        <v>66</v>
      </c>
      <c r="AB2" s="11" t="s">
        <v>29</v>
      </c>
      <c r="AC2" s="11" t="s">
        <v>261</v>
      </c>
      <c r="AD2" s="11" t="s">
        <v>261</v>
      </c>
      <c r="AE2" s="11" t="s">
        <v>551</v>
      </c>
      <c r="AF2" s="12" t="s">
        <v>261</v>
      </c>
      <c r="AG2" s="11" t="s">
        <v>261</v>
      </c>
    </row>
    <row r="3" spans="1:33" ht="30" hidden="1" x14ac:dyDescent="0.25">
      <c r="A3" s="11">
        <v>1</v>
      </c>
      <c r="B3" s="3" t="s">
        <v>261</v>
      </c>
      <c r="C3" s="11">
        <v>194407</v>
      </c>
      <c r="D3" s="11" t="s">
        <v>36</v>
      </c>
      <c r="E3" s="11" t="str">
        <f>MID(Table2[[#This Row],[تاريخ تاييد]],1,7)</f>
        <v>1403/01</v>
      </c>
      <c r="F3" s="11" t="str">
        <f>MID(Table2[[#This Row],[تاريخ تاييد]],6,2)</f>
        <v>01</v>
      </c>
      <c r="G3" s="11" t="s">
        <v>618</v>
      </c>
      <c r="H3" s="11" t="str">
        <f>VLOOKUP(Table2[[#This Row],[شماره فني]],Sheet7!A:C,3,0)</f>
        <v>جلو آمپر</v>
      </c>
      <c r="I3" s="11" t="str">
        <f>VLOOKUP(Table2[[#This Row],[شماره فني]],Sheet7!A:B,2,0)</f>
        <v>جلو آمپرSOREN TC 85 گانه</v>
      </c>
      <c r="J3" s="11" t="s">
        <v>37</v>
      </c>
      <c r="K3" s="11" t="s">
        <v>723</v>
      </c>
      <c r="L3" s="11" t="s">
        <v>261</v>
      </c>
      <c r="M3" s="11" t="s">
        <v>261</v>
      </c>
      <c r="N3" s="11" t="s">
        <v>261</v>
      </c>
      <c r="O3" s="11" t="s">
        <v>261</v>
      </c>
      <c r="P3" s="11" t="s">
        <v>261</v>
      </c>
      <c r="Q3" s="11" t="s">
        <v>261</v>
      </c>
      <c r="R3" s="11" t="s">
        <v>68</v>
      </c>
      <c r="S3" s="11" t="s">
        <v>261</v>
      </c>
      <c r="T3" s="11" t="s">
        <v>840</v>
      </c>
      <c r="U3" s="11" t="s">
        <v>257</v>
      </c>
      <c r="V3" s="11" t="s">
        <v>561</v>
      </c>
      <c r="W3" s="11">
        <v>50</v>
      </c>
      <c r="X3" s="11" t="s">
        <v>32</v>
      </c>
      <c r="Y3" s="11" t="s">
        <v>261</v>
      </c>
      <c r="Z3" s="11" t="s">
        <v>261</v>
      </c>
      <c r="AA3" s="11" t="s">
        <v>261</v>
      </c>
      <c r="AB3" s="11" t="s">
        <v>28</v>
      </c>
      <c r="AC3" s="11" t="s">
        <v>261</v>
      </c>
      <c r="AD3" s="11" t="s">
        <v>261</v>
      </c>
      <c r="AE3" s="11" t="s">
        <v>551</v>
      </c>
      <c r="AF3" s="12" t="s">
        <v>261</v>
      </c>
      <c r="AG3" s="11" t="s">
        <v>261</v>
      </c>
    </row>
    <row r="4" spans="1:33" ht="45" hidden="1" x14ac:dyDescent="0.25">
      <c r="A4" s="11">
        <v>1</v>
      </c>
      <c r="B4" s="3" t="s">
        <v>261</v>
      </c>
      <c r="C4" s="11">
        <v>194427</v>
      </c>
      <c r="D4" s="11" t="s">
        <v>36</v>
      </c>
      <c r="E4" s="11" t="str">
        <f>MID(Table2[[#This Row],[تاريخ تاييد]],1,7)</f>
        <v>1403/01</v>
      </c>
      <c r="F4" s="11" t="str">
        <f>MID(Table2[[#This Row],[تاريخ تاييد]],6,2)</f>
        <v>01</v>
      </c>
      <c r="G4" s="11" t="s">
        <v>618</v>
      </c>
      <c r="H4" s="11" t="str">
        <f>VLOOKUP(Table2[[#This Row],[شماره فني]],Sheet7!A:C,3,0)</f>
        <v>جلو آمپر</v>
      </c>
      <c r="I4" s="11" t="str">
        <f>VLOOKUP(Table2[[#This Row],[شماره فني]],Sheet7!A:B,2,0)</f>
        <v>جلو آمپر دنا اتوماتیک</v>
      </c>
      <c r="J4" s="11" t="s">
        <v>38</v>
      </c>
      <c r="K4" s="11" t="s">
        <v>335</v>
      </c>
      <c r="L4" s="11" t="s">
        <v>261</v>
      </c>
      <c r="M4" s="11" t="s">
        <v>261</v>
      </c>
      <c r="N4" s="11" t="s">
        <v>261</v>
      </c>
      <c r="O4" s="11" t="s">
        <v>261</v>
      </c>
      <c r="P4" s="11" t="s">
        <v>261</v>
      </c>
      <c r="Q4" s="11" t="s">
        <v>261</v>
      </c>
      <c r="R4" s="11" t="s">
        <v>961</v>
      </c>
      <c r="S4" s="11" t="s">
        <v>261</v>
      </c>
      <c r="T4" s="11" t="s">
        <v>261</v>
      </c>
      <c r="U4" s="11" t="s">
        <v>552</v>
      </c>
      <c r="V4" s="11" t="s">
        <v>784</v>
      </c>
      <c r="W4" s="11">
        <v>1</v>
      </c>
      <c r="X4" s="11" t="s">
        <v>21</v>
      </c>
      <c r="Y4" s="11" t="s">
        <v>261</v>
      </c>
      <c r="Z4" s="11" t="s">
        <v>261</v>
      </c>
      <c r="AA4" s="11" t="s">
        <v>261</v>
      </c>
      <c r="AB4" s="11" t="s">
        <v>583</v>
      </c>
      <c r="AC4" s="11" t="s">
        <v>261</v>
      </c>
      <c r="AD4" s="11" t="s">
        <v>261</v>
      </c>
      <c r="AE4" s="11" t="s">
        <v>551</v>
      </c>
      <c r="AF4" s="12" t="s">
        <v>261</v>
      </c>
      <c r="AG4" s="11" t="s">
        <v>261</v>
      </c>
    </row>
    <row r="5" spans="1:33" ht="45" hidden="1" x14ac:dyDescent="0.25">
      <c r="A5" s="11">
        <v>1</v>
      </c>
      <c r="B5" s="3" t="s">
        <v>261</v>
      </c>
      <c r="C5" s="11">
        <v>194486</v>
      </c>
      <c r="D5" s="11" t="s">
        <v>39</v>
      </c>
      <c r="E5" s="11" t="str">
        <f>MID(Table2[[#This Row],[تاريخ تاييد]],1,7)</f>
        <v>1403/01</v>
      </c>
      <c r="F5" s="11" t="str">
        <f>MID(Table2[[#This Row],[تاريخ تاييد]],6,2)</f>
        <v>01</v>
      </c>
      <c r="G5" s="11" t="s">
        <v>618</v>
      </c>
      <c r="H5" s="11" t="str">
        <f>VLOOKUP(Table2[[#This Row],[شماره فني]],Sheet7!A:C,3,0)</f>
        <v>NOD</v>
      </c>
      <c r="I5" s="11" t="str">
        <f>VLOOKUP(Table2[[#This Row],[شماره فني]],Sheet7!A:B,2,0)</f>
        <v>NBCM 207</v>
      </c>
      <c r="J5" s="11" t="s">
        <v>40</v>
      </c>
      <c r="K5" s="11" t="s">
        <v>230</v>
      </c>
      <c r="L5" s="11" t="s">
        <v>261</v>
      </c>
      <c r="M5" s="11" t="s">
        <v>261</v>
      </c>
      <c r="N5" s="11" t="s">
        <v>261</v>
      </c>
      <c r="O5" s="11" t="s">
        <v>261</v>
      </c>
      <c r="P5" s="11" t="s">
        <v>261</v>
      </c>
      <c r="Q5" s="11" t="s">
        <v>261</v>
      </c>
      <c r="R5" s="11" t="s">
        <v>961</v>
      </c>
      <c r="S5" s="11" t="s">
        <v>261</v>
      </c>
      <c r="T5" s="11" t="s">
        <v>261</v>
      </c>
      <c r="U5" s="11" t="s">
        <v>552</v>
      </c>
      <c r="V5" s="11" t="s">
        <v>784</v>
      </c>
      <c r="W5" s="11">
        <v>1</v>
      </c>
      <c r="X5" s="11" t="s">
        <v>19</v>
      </c>
      <c r="Y5" s="11" t="s">
        <v>261</v>
      </c>
      <c r="Z5" s="11" t="s">
        <v>261</v>
      </c>
      <c r="AA5" s="11" t="s">
        <v>261</v>
      </c>
      <c r="AB5" s="11" t="s">
        <v>583</v>
      </c>
      <c r="AC5" s="11" t="s">
        <v>261</v>
      </c>
      <c r="AD5" s="11" t="s">
        <v>261</v>
      </c>
      <c r="AE5" s="11" t="s">
        <v>551</v>
      </c>
      <c r="AF5" s="12" t="s">
        <v>261</v>
      </c>
      <c r="AG5" s="11" t="s">
        <v>261</v>
      </c>
    </row>
    <row r="6" spans="1:33" ht="60.75" hidden="1" customHeight="1" x14ac:dyDescent="0.25">
      <c r="A6" s="11">
        <v>1</v>
      </c>
      <c r="B6" s="3" t="s">
        <v>261</v>
      </c>
      <c r="C6" s="11">
        <v>194549</v>
      </c>
      <c r="D6" s="11" t="s">
        <v>39</v>
      </c>
      <c r="E6" s="11" t="str">
        <f>MID(Table2[[#This Row],[تاريخ تاييد]],1,7)</f>
        <v>1403/01</v>
      </c>
      <c r="F6" s="11" t="str">
        <f>MID(Table2[[#This Row],[تاريخ تاييد]],6,2)</f>
        <v>01</v>
      </c>
      <c r="G6" s="11" t="s">
        <v>618</v>
      </c>
      <c r="H6" s="11" t="str">
        <f>VLOOKUP(Table2[[#This Row],[شماره فني]],Sheet7!A:C,3,0)</f>
        <v>جلو آمپر</v>
      </c>
      <c r="I6" s="11" t="str">
        <f>VLOOKUP(Table2[[#This Row],[شماره فني]],Sheet7!A:B,2,0)</f>
        <v>جلو آمپر دنا اتوماتیک</v>
      </c>
      <c r="J6" s="11" t="s">
        <v>41</v>
      </c>
      <c r="K6" s="11" t="s">
        <v>231</v>
      </c>
      <c r="L6" s="11" t="s">
        <v>22</v>
      </c>
      <c r="M6" s="11" t="s">
        <v>158</v>
      </c>
      <c r="N6" s="11" t="s">
        <v>261</v>
      </c>
      <c r="O6" s="11" t="s">
        <v>261</v>
      </c>
      <c r="P6" s="11" t="s">
        <v>261</v>
      </c>
      <c r="Q6" s="11" t="s">
        <v>261</v>
      </c>
      <c r="R6" s="11" t="s">
        <v>159</v>
      </c>
      <c r="S6" s="11" t="s">
        <v>160</v>
      </c>
      <c r="T6" s="11" t="s">
        <v>231</v>
      </c>
      <c r="U6" s="11" t="s">
        <v>797</v>
      </c>
      <c r="V6" s="11" t="s">
        <v>561</v>
      </c>
      <c r="W6" s="11">
        <v>1</v>
      </c>
      <c r="X6" s="11" t="s">
        <v>21</v>
      </c>
      <c r="Y6" s="11" t="s">
        <v>173</v>
      </c>
      <c r="Z6" s="11" t="s">
        <v>158</v>
      </c>
      <c r="AA6" s="11" t="s">
        <v>66</v>
      </c>
      <c r="AB6" s="11" t="s">
        <v>28</v>
      </c>
      <c r="AC6" s="11" t="s">
        <v>261</v>
      </c>
      <c r="AD6" s="11" t="s">
        <v>261</v>
      </c>
      <c r="AE6" s="11" t="s">
        <v>551</v>
      </c>
      <c r="AF6" s="12" t="s">
        <v>261</v>
      </c>
      <c r="AG6" s="11" t="s">
        <v>261</v>
      </c>
    </row>
    <row r="7" spans="1:33" ht="60.75" hidden="1" customHeight="1" x14ac:dyDescent="0.25">
      <c r="A7" s="11">
        <v>1</v>
      </c>
      <c r="B7" s="3" t="s">
        <v>261</v>
      </c>
      <c r="C7" s="11">
        <v>194583</v>
      </c>
      <c r="D7" s="11" t="s">
        <v>42</v>
      </c>
      <c r="E7" s="11" t="str">
        <f>MID(Table2[[#This Row],[تاريخ تاييد]],1,7)</f>
        <v>1403/01</v>
      </c>
      <c r="F7" s="11" t="str">
        <f>MID(Table2[[#This Row],[تاريخ تاييد]],6,2)</f>
        <v>01</v>
      </c>
      <c r="G7" s="11" t="s">
        <v>618</v>
      </c>
      <c r="H7" s="11" t="str">
        <f>VLOOKUP(Table2[[#This Row],[شماره فني]],Sheet7!A:C,3,0)</f>
        <v>NOD</v>
      </c>
      <c r="I7" s="11" t="str">
        <f>VLOOKUP(Table2[[#This Row],[شماره فني]],Sheet7!A:B,2,0)</f>
        <v>NBCM DENA</v>
      </c>
      <c r="J7" s="11" t="s">
        <v>43</v>
      </c>
      <c r="K7" s="11" t="s">
        <v>334</v>
      </c>
      <c r="L7" s="11" t="s">
        <v>261</v>
      </c>
      <c r="M7" s="11" t="s">
        <v>261</v>
      </c>
      <c r="N7" s="11" t="s">
        <v>261</v>
      </c>
      <c r="O7" s="11" t="s">
        <v>261</v>
      </c>
      <c r="P7" s="11" t="s">
        <v>261</v>
      </c>
      <c r="Q7" s="11" t="s">
        <v>261</v>
      </c>
      <c r="R7" s="11" t="s">
        <v>961</v>
      </c>
      <c r="S7" s="11" t="s">
        <v>261</v>
      </c>
      <c r="T7" s="11" t="s">
        <v>261</v>
      </c>
      <c r="U7" s="11" t="s">
        <v>552</v>
      </c>
      <c r="V7" s="11" t="s">
        <v>784</v>
      </c>
      <c r="W7" s="11">
        <v>1</v>
      </c>
      <c r="X7" s="11" t="s">
        <v>16</v>
      </c>
      <c r="Y7" s="11" t="s">
        <v>261</v>
      </c>
      <c r="Z7" s="11" t="s">
        <v>261</v>
      </c>
      <c r="AA7" s="11" t="s">
        <v>261</v>
      </c>
      <c r="AB7" s="11" t="s">
        <v>583</v>
      </c>
      <c r="AC7" s="11" t="s">
        <v>261</v>
      </c>
      <c r="AD7" s="11" t="s">
        <v>261</v>
      </c>
      <c r="AE7" s="11" t="s">
        <v>551</v>
      </c>
      <c r="AF7" s="12" t="s">
        <v>261</v>
      </c>
      <c r="AG7" s="11" t="s">
        <v>261</v>
      </c>
    </row>
    <row r="8" spans="1:33" ht="60.75" hidden="1" customHeight="1" x14ac:dyDescent="0.25">
      <c r="A8" s="11">
        <v>1</v>
      </c>
      <c r="B8" s="3" t="s">
        <v>261</v>
      </c>
      <c r="C8" s="11">
        <v>194584</v>
      </c>
      <c r="D8" s="11" t="s">
        <v>42</v>
      </c>
      <c r="E8" s="11" t="str">
        <f>MID(Table2[[#This Row],[تاريخ تاييد]],1,7)</f>
        <v>1403/01</v>
      </c>
      <c r="F8" s="11" t="str">
        <f>MID(Table2[[#This Row],[تاريخ تاييد]],6,2)</f>
        <v>01</v>
      </c>
      <c r="G8" s="11" t="s">
        <v>618</v>
      </c>
      <c r="H8" s="11" t="str">
        <f>VLOOKUP(Table2[[#This Row],[شماره فني]],Sheet7!A:C,3,0)</f>
        <v>جلو آمپر</v>
      </c>
      <c r="I8" s="11" t="str">
        <f>VLOOKUP(Table2[[#This Row],[شماره فني]],Sheet7!A:B,2,0)</f>
        <v>جلو آمپر207  معمولی85 گانه</v>
      </c>
      <c r="J8" s="11" t="s">
        <v>44</v>
      </c>
      <c r="K8" s="11" t="s">
        <v>725</v>
      </c>
      <c r="L8" s="11" t="s">
        <v>261</v>
      </c>
      <c r="M8" s="11" t="s">
        <v>261</v>
      </c>
      <c r="N8" s="11" t="s">
        <v>261</v>
      </c>
      <c r="O8" s="11" t="s">
        <v>261</v>
      </c>
      <c r="P8" s="11" t="s">
        <v>261</v>
      </c>
      <c r="Q8" s="11" t="s">
        <v>261</v>
      </c>
      <c r="R8" s="11" t="s">
        <v>961</v>
      </c>
      <c r="S8" s="11" t="s">
        <v>261</v>
      </c>
      <c r="T8" s="11" t="s">
        <v>261</v>
      </c>
      <c r="U8" s="11" t="s">
        <v>552</v>
      </c>
      <c r="V8" s="11" t="s">
        <v>784</v>
      </c>
      <c r="W8" s="11">
        <v>1</v>
      </c>
      <c r="X8" s="11" t="s">
        <v>30</v>
      </c>
      <c r="Y8" s="11" t="s">
        <v>261</v>
      </c>
      <c r="Z8" s="11" t="s">
        <v>261</v>
      </c>
      <c r="AA8" s="11" t="s">
        <v>261</v>
      </c>
      <c r="AB8" s="11" t="s">
        <v>583</v>
      </c>
      <c r="AC8" s="11" t="s">
        <v>261</v>
      </c>
      <c r="AD8" s="11" t="s">
        <v>261</v>
      </c>
      <c r="AE8" s="11" t="s">
        <v>551</v>
      </c>
      <c r="AF8" s="12" t="s">
        <v>261</v>
      </c>
      <c r="AG8" s="11" t="s">
        <v>261</v>
      </c>
    </row>
    <row r="9" spans="1:33" ht="30" hidden="1" x14ac:dyDescent="0.25">
      <c r="A9" s="11">
        <v>1</v>
      </c>
      <c r="B9" s="3" t="s">
        <v>261</v>
      </c>
      <c r="C9" s="11">
        <v>194773</v>
      </c>
      <c r="D9" s="11" t="s">
        <v>45</v>
      </c>
      <c r="E9" s="11" t="str">
        <f>MID(Table2[[#This Row],[تاريخ تاييد]],1,7)</f>
        <v>1403/01</v>
      </c>
      <c r="F9" s="11" t="str">
        <f>MID(Table2[[#This Row],[تاريخ تاييد]],6,2)</f>
        <v>01</v>
      </c>
      <c r="G9" s="11" t="s">
        <v>618</v>
      </c>
      <c r="H9" s="11" t="str">
        <f>VLOOKUP(Table2[[#This Row],[شماره فني]],Sheet7!A:C,3,0)</f>
        <v>NOD</v>
      </c>
      <c r="I9" s="11" t="str">
        <f>VLOOKUP(Table2[[#This Row],[شماره فني]],Sheet7!A:B,2,0)</f>
        <v>NBCM 207</v>
      </c>
      <c r="J9" s="11" t="s">
        <v>46</v>
      </c>
      <c r="K9" s="11" t="s">
        <v>334</v>
      </c>
      <c r="L9" s="11" t="s">
        <v>22</v>
      </c>
      <c r="M9" s="11" t="s">
        <v>65</v>
      </c>
      <c r="N9" s="11" t="s">
        <v>261</v>
      </c>
      <c r="O9" s="11" t="s">
        <v>261</v>
      </c>
      <c r="P9" s="11" t="s">
        <v>261</v>
      </c>
      <c r="Q9" s="11" t="s">
        <v>261</v>
      </c>
      <c r="R9" s="11" t="s">
        <v>67</v>
      </c>
      <c r="S9" s="11" t="s">
        <v>954</v>
      </c>
      <c r="T9" s="12" t="s">
        <v>829</v>
      </c>
      <c r="U9" s="11" t="s">
        <v>824</v>
      </c>
      <c r="V9" s="11" t="s">
        <v>562</v>
      </c>
      <c r="W9" s="11">
        <v>1</v>
      </c>
      <c r="X9" s="11" t="s">
        <v>19</v>
      </c>
      <c r="Y9" s="11" t="s">
        <v>135</v>
      </c>
      <c r="Z9" s="11" t="s">
        <v>65</v>
      </c>
      <c r="AA9" s="11" t="s">
        <v>66</v>
      </c>
      <c r="AB9" s="11" t="s">
        <v>27</v>
      </c>
      <c r="AC9" s="11" t="s">
        <v>986</v>
      </c>
      <c r="AD9" s="11" t="s">
        <v>261</v>
      </c>
      <c r="AE9" s="11" t="s">
        <v>551</v>
      </c>
      <c r="AF9" s="12" t="s">
        <v>261</v>
      </c>
      <c r="AG9" s="11" t="s">
        <v>261</v>
      </c>
    </row>
    <row r="10" spans="1:33" ht="30" hidden="1" x14ac:dyDescent="0.25">
      <c r="A10" s="11">
        <v>1</v>
      </c>
      <c r="B10" s="3" t="s">
        <v>261</v>
      </c>
      <c r="C10" s="11">
        <v>194942</v>
      </c>
      <c r="D10" s="11" t="s">
        <v>47</v>
      </c>
      <c r="E10" s="11" t="str">
        <f>MID(Table2[[#This Row],[تاريخ تاييد]],1,7)</f>
        <v>1403/02</v>
      </c>
      <c r="F10" s="11" t="str">
        <f>MID(Table2[[#This Row],[تاريخ تاييد]],6,2)</f>
        <v>02</v>
      </c>
      <c r="G10" s="11" t="s">
        <v>618</v>
      </c>
      <c r="H10" s="11" t="str">
        <f>VLOOKUP(Table2[[#This Row],[شماره فني]],Sheet7!A:C,3,0)</f>
        <v>جلو آمپر</v>
      </c>
      <c r="I10" s="11" t="str">
        <f>VLOOKUP(Table2[[#This Row],[شماره فني]],Sheet7!A:B,2,0)</f>
        <v>جلو آمپر دنا اتوماتیک</v>
      </c>
      <c r="J10" s="11" t="s">
        <v>48</v>
      </c>
      <c r="K10" s="11" t="s">
        <v>231</v>
      </c>
      <c r="L10" s="11" t="s">
        <v>23</v>
      </c>
      <c r="M10" s="11" t="s">
        <v>65</v>
      </c>
      <c r="N10" s="11" t="s">
        <v>22</v>
      </c>
      <c r="O10" s="11" t="s">
        <v>183</v>
      </c>
      <c r="P10" s="11" t="s">
        <v>261</v>
      </c>
      <c r="Q10" s="11" t="s">
        <v>261</v>
      </c>
      <c r="R10" s="11" t="s">
        <v>69</v>
      </c>
      <c r="S10" s="11" t="s">
        <v>184</v>
      </c>
      <c r="T10" s="11" t="s">
        <v>231</v>
      </c>
      <c r="U10" s="11" t="s">
        <v>797</v>
      </c>
      <c r="V10" s="11" t="s">
        <v>561</v>
      </c>
      <c r="W10" s="11">
        <v>1</v>
      </c>
      <c r="X10" s="11" t="s">
        <v>21</v>
      </c>
      <c r="Y10" s="11" t="s">
        <v>141</v>
      </c>
      <c r="Z10" s="11" t="s">
        <v>65</v>
      </c>
      <c r="AA10" s="11" t="s">
        <v>66</v>
      </c>
      <c r="AB10" s="11" t="s">
        <v>28</v>
      </c>
      <c r="AC10" s="11" t="s">
        <v>261</v>
      </c>
      <c r="AD10" s="11" t="s">
        <v>261</v>
      </c>
      <c r="AE10" s="11" t="s">
        <v>551</v>
      </c>
      <c r="AF10" s="12" t="s">
        <v>261</v>
      </c>
      <c r="AG10" s="11" t="s">
        <v>261</v>
      </c>
    </row>
    <row r="11" spans="1:33" ht="30" hidden="1" x14ac:dyDescent="0.25">
      <c r="A11" s="11">
        <v>1</v>
      </c>
      <c r="B11" s="3" t="s">
        <v>261</v>
      </c>
      <c r="C11" s="11">
        <v>194984</v>
      </c>
      <c r="D11" s="11" t="s">
        <v>47</v>
      </c>
      <c r="E11" s="11" t="str">
        <f>MID(Table2[[#This Row],[تاريخ تاييد]],1,7)</f>
        <v>1403/02</v>
      </c>
      <c r="F11" s="11" t="str">
        <f>MID(Table2[[#This Row],[تاريخ تاييد]],6,2)</f>
        <v>02</v>
      </c>
      <c r="G11" s="11" t="s">
        <v>618</v>
      </c>
      <c r="H11" s="11" t="str">
        <f>VLOOKUP(Table2[[#This Row],[شماره فني]],Sheet7!A:C,3,0)</f>
        <v>NOD</v>
      </c>
      <c r="I11" s="11" t="str">
        <f>VLOOKUP(Table2[[#This Row],[شماره فني]],Sheet7!A:B,2,0)</f>
        <v>NBCM 207</v>
      </c>
      <c r="J11" s="11" t="s">
        <v>49</v>
      </c>
      <c r="K11" s="11" t="s">
        <v>334</v>
      </c>
      <c r="L11" s="11" t="s">
        <v>22</v>
      </c>
      <c r="M11" s="11" t="s">
        <v>65</v>
      </c>
      <c r="N11" s="11" t="s">
        <v>261</v>
      </c>
      <c r="O11" s="11" t="s">
        <v>261</v>
      </c>
      <c r="P11" s="11" t="s">
        <v>261</v>
      </c>
      <c r="Q11" s="11" t="s">
        <v>261</v>
      </c>
      <c r="R11" s="11" t="s">
        <v>261</v>
      </c>
      <c r="S11" s="11" t="s">
        <v>124</v>
      </c>
      <c r="T11" s="11" t="s">
        <v>799</v>
      </c>
      <c r="U11" s="11" t="s">
        <v>813</v>
      </c>
      <c r="V11" s="11" t="s">
        <v>563</v>
      </c>
      <c r="W11" s="11">
        <v>1</v>
      </c>
      <c r="X11" s="11" t="s">
        <v>19</v>
      </c>
      <c r="Y11" s="11" t="s">
        <v>136</v>
      </c>
      <c r="Z11" s="11" t="s">
        <v>65</v>
      </c>
      <c r="AA11" s="11" t="s">
        <v>66</v>
      </c>
      <c r="AB11" s="11" t="s">
        <v>27</v>
      </c>
      <c r="AC11" s="11" t="s">
        <v>987</v>
      </c>
      <c r="AD11" s="11" t="s">
        <v>261</v>
      </c>
      <c r="AE11" s="11" t="s">
        <v>551</v>
      </c>
      <c r="AF11" s="12" t="s">
        <v>261</v>
      </c>
      <c r="AG11" s="11" t="s">
        <v>261</v>
      </c>
    </row>
    <row r="12" spans="1:33" ht="30" hidden="1" x14ac:dyDescent="0.25">
      <c r="A12" s="11">
        <v>1</v>
      </c>
      <c r="B12" s="3" t="s">
        <v>261</v>
      </c>
      <c r="C12" s="11">
        <v>194985</v>
      </c>
      <c r="D12" s="11" t="s">
        <v>47</v>
      </c>
      <c r="E12" s="11" t="str">
        <f>MID(Table2[[#This Row],[تاريخ تاييد]],1,7)</f>
        <v>1403/02</v>
      </c>
      <c r="F12" s="11" t="str">
        <f>MID(Table2[[#This Row],[تاريخ تاييد]],6,2)</f>
        <v>02</v>
      </c>
      <c r="G12" s="11" t="s">
        <v>618</v>
      </c>
      <c r="H12" s="11" t="str">
        <f>VLOOKUP(Table2[[#This Row],[شماره فني]],Sheet7!A:C,3,0)</f>
        <v>جلو آمپر</v>
      </c>
      <c r="I12" s="11" t="str">
        <f>VLOOKUP(Table2[[#This Row],[شماره فني]],Sheet7!A:B,2,0)</f>
        <v>جلو آمپر207 اتوماتیک85 گانه</v>
      </c>
      <c r="J12" s="11" t="s">
        <v>50</v>
      </c>
      <c r="K12" s="11" t="s">
        <v>334</v>
      </c>
      <c r="L12" s="11" t="s">
        <v>22</v>
      </c>
      <c r="M12" s="11" t="s">
        <v>65</v>
      </c>
      <c r="N12" s="11" t="s">
        <v>261</v>
      </c>
      <c r="O12" s="11" t="s">
        <v>261</v>
      </c>
      <c r="P12" s="11" t="s">
        <v>261</v>
      </c>
      <c r="Q12" s="11" t="s">
        <v>261</v>
      </c>
      <c r="R12" s="11" t="s">
        <v>70</v>
      </c>
      <c r="S12" s="11" t="s">
        <v>71</v>
      </c>
      <c r="T12" s="11" t="s">
        <v>816</v>
      </c>
      <c r="U12" s="11" t="s">
        <v>815</v>
      </c>
      <c r="V12" s="11" t="s">
        <v>564</v>
      </c>
      <c r="W12" s="11">
        <v>1</v>
      </c>
      <c r="X12" s="11" t="s">
        <v>31</v>
      </c>
      <c r="Y12" s="11" t="s">
        <v>142</v>
      </c>
      <c r="Z12" s="11" t="s">
        <v>65</v>
      </c>
      <c r="AA12" s="11" t="s">
        <v>66</v>
      </c>
      <c r="AB12" s="11" t="s">
        <v>29</v>
      </c>
      <c r="AC12" s="11" t="s">
        <v>261</v>
      </c>
      <c r="AD12" s="11" t="s">
        <v>261</v>
      </c>
      <c r="AE12" s="11" t="s">
        <v>551</v>
      </c>
      <c r="AF12" s="12" t="s">
        <v>261</v>
      </c>
      <c r="AG12" s="11" t="s">
        <v>261</v>
      </c>
    </row>
    <row r="13" spans="1:33" ht="30" hidden="1" x14ac:dyDescent="0.25">
      <c r="A13" s="11">
        <v>1</v>
      </c>
      <c r="B13" s="3" t="s">
        <v>261</v>
      </c>
      <c r="C13" s="11">
        <v>194986</v>
      </c>
      <c r="D13" s="11" t="s">
        <v>47</v>
      </c>
      <c r="E13" s="11" t="str">
        <f>MID(Table2[[#This Row],[تاريخ تاييد]],1,7)</f>
        <v>1403/02</v>
      </c>
      <c r="F13" s="11" t="str">
        <f>MID(Table2[[#This Row],[تاريخ تاييد]],6,2)</f>
        <v>02</v>
      </c>
      <c r="G13" s="11" t="s">
        <v>618</v>
      </c>
      <c r="H13" s="11" t="str">
        <f>VLOOKUP(Table2[[#This Row],[شماره فني]],Sheet7!A:C,3,0)</f>
        <v>NOD</v>
      </c>
      <c r="I13" s="11" t="str">
        <f>VLOOKUP(Table2[[#This Row],[شماره فني]],Sheet7!A:B,2,0)</f>
        <v>NBCM DENA</v>
      </c>
      <c r="J13" s="11" t="s">
        <v>51</v>
      </c>
      <c r="K13" s="11" t="s">
        <v>725</v>
      </c>
      <c r="L13" s="11" t="s">
        <v>261</v>
      </c>
      <c r="M13" s="11" t="s">
        <v>261</v>
      </c>
      <c r="N13" s="11" t="s">
        <v>261</v>
      </c>
      <c r="O13" s="11" t="s">
        <v>261</v>
      </c>
      <c r="P13" s="11" t="s">
        <v>261</v>
      </c>
      <c r="Q13" s="11" t="s">
        <v>261</v>
      </c>
      <c r="R13" s="11" t="s">
        <v>261</v>
      </c>
      <c r="S13" s="11" t="s">
        <v>261</v>
      </c>
      <c r="T13" s="11" t="s">
        <v>985</v>
      </c>
      <c r="U13" s="11" t="s">
        <v>738</v>
      </c>
      <c r="V13" s="11" t="s">
        <v>737</v>
      </c>
      <c r="W13" s="11">
        <v>3</v>
      </c>
      <c r="X13" s="11" t="s">
        <v>16</v>
      </c>
      <c r="Y13" s="11" t="s">
        <v>261</v>
      </c>
      <c r="Z13" s="11" t="s">
        <v>261</v>
      </c>
      <c r="AA13" s="11" t="s">
        <v>261</v>
      </c>
      <c r="AB13" s="11" t="s">
        <v>27</v>
      </c>
      <c r="AC13" s="11" t="s">
        <v>988</v>
      </c>
      <c r="AD13" s="11" t="s">
        <v>261</v>
      </c>
      <c r="AE13" s="11" t="s">
        <v>551</v>
      </c>
      <c r="AF13" s="12" t="s">
        <v>261</v>
      </c>
      <c r="AG13" s="11" t="s">
        <v>261</v>
      </c>
    </row>
    <row r="14" spans="1:33" ht="68.25" hidden="1" customHeight="1" x14ac:dyDescent="0.25">
      <c r="A14" s="11">
        <v>1</v>
      </c>
      <c r="B14" s="3" t="s">
        <v>261</v>
      </c>
      <c r="C14" s="11">
        <v>195015</v>
      </c>
      <c r="D14" s="11" t="s">
        <v>47</v>
      </c>
      <c r="E14" s="11" t="str">
        <f>MID(Table2[[#This Row],[تاريخ تاييد]],1,7)</f>
        <v>1403/02</v>
      </c>
      <c r="F14" s="11" t="str">
        <f>MID(Table2[[#This Row],[تاريخ تاييد]],6,2)</f>
        <v>02</v>
      </c>
      <c r="G14" s="11" t="s">
        <v>618</v>
      </c>
      <c r="H14" s="11" t="str">
        <f>VLOOKUP(Table2[[#This Row],[شماره فني]],Sheet7!A:C,3,0)</f>
        <v>جلو آمپر</v>
      </c>
      <c r="I14" s="11" t="str">
        <f>VLOOKUP(Table2[[#This Row],[شماره فني]],Sheet7!A:B,2,0)</f>
        <v>جلو آمپر دنا اتوماتیک</v>
      </c>
      <c r="J14" s="11" t="s">
        <v>52</v>
      </c>
      <c r="K14" s="11" t="s">
        <v>723</v>
      </c>
      <c r="L14" s="11" t="s">
        <v>261</v>
      </c>
      <c r="M14" s="11" t="s">
        <v>261</v>
      </c>
      <c r="N14" s="11" t="s">
        <v>261</v>
      </c>
      <c r="O14" s="11" t="s">
        <v>261</v>
      </c>
      <c r="P14" s="11" t="s">
        <v>261</v>
      </c>
      <c r="Q14" s="11" t="s">
        <v>261</v>
      </c>
      <c r="R14" s="11" t="s">
        <v>68</v>
      </c>
      <c r="S14" s="11" t="s">
        <v>261</v>
      </c>
      <c r="T14" s="11" t="s">
        <v>840</v>
      </c>
      <c r="U14" s="11" t="s">
        <v>257</v>
      </c>
      <c r="V14" s="11" t="s">
        <v>561</v>
      </c>
      <c r="W14" s="11">
        <v>1</v>
      </c>
      <c r="X14" s="11" t="s">
        <v>21</v>
      </c>
      <c r="Y14" s="11" t="s">
        <v>140</v>
      </c>
      <c r="Z14" s="11" t="s">
        <v>65</v>
      </c>
      <c r="AA14" s="11" t="s">
        <v>66</v>
      </c>
      <c r="AB14" s="11" t="s">
        <v>28</v>
      </c>
      <c r="AC14" s="11" t="s">
        <v>261</v>
      </c>
      <c r="AD14" s="11" t="s">
        <v>261</v>
      </c>
      <c r="AE14" s="11" t="s">
        <v>551</v>
      </c>
      <c r="AF14" s="12" t="s">
        <v>261</v>
      </c>
      <c r="AG14" s="11" t="s">
        <v>261</v>
      </c>
    </row>
    <row r="15" spans="1:33" ht="30" hidden="1" x14ac:dyDescent="0.25">
      <c r="A15" s="11">
        <v>1</v>
      </c>
      <c r="B15" s="3" t="s">
        <v>261</v>
      </c>
      <c r="C15" s="11">
        <v>195073</v>
      </c>
      <c r="D15" s="11" t="s">
        <v>53</v>
      </c>
      <c r="E15" s="11" t="str">
        <f>MID(Table2[[#This Row],[تاريخ تاييد]],1,7)</f>
        <v>1403/02</v>
      </c>
      <c r="F15" s="11" t="str">
        <f>MID(Table2[[#This Row],[تاريخ تاييد]],6,2)</f>
        <v>02</v>
      </c>
      <c r="G15" s="11" t="s">
        <v>618</v>
      </c>
      <c r="H15" s="11" t="str">
        <f>VLOOKUP(Table2[[#This Row],[شماره فني]],Sheet7!A:C,3,0)</f>
        <v>NOD</v>
      </c>
      <c r="I15" s="11" t="str">
        <f>VLOOKUP(Table2[[#This Row],[شماره فني]],Sheet7!A:B,2,0)</f>
        <v>NBCM DENA</v>
      </c>
      <c r="J15" s="11" t="s">
        <v>54</v>
      </c>
      <c r="K15" s="11" t="s">
        <v>485</v>
      </c>
      <c r="L15" s="11" t="s">
        <v>23</v>
      </c>
      <c r="M15" s="11" t="s">
        <v>65</v>
      </c>
      <c r="N15" s="11" t="s">
        <v>261</v>
      </c>
      <c r="O15" s="11" t="s">
        <v>261</v>
      </c>
      <c r="P15" s="11" t="s">
        <v>261</v>
      </c>
      <c r="Q15" s="11" t="s">
        <v>261</v>
      </c>
      <c r="R15" s="11" t="s">
        <v>111</v>
      </c>
      <c r="S15" s="11" t="s">
        <v>5</v>
      </c>
      <c r="T15" s="11" t="s">
        <v>978</v>
      </c>
      <c r="U15" s="11" t="s">
        <v>583</v>
      </c>
      <c r="V15" s="11" t="s">
        <v>583</v>
      </c>
      <c r="W15" s="11">
        <v>1</v>
      </c>
      <c r="X15" s="11" t="s">
        <v>16</v>
      </c>
      <c r="Y15" s="11" t="s">
        <v>143</v>
      </c>
      <c r="Z15" s="11" t="s">
        <v>65</v>
      </c>
      <c r="AA15" s="11" t="s">
        <v>66</v>
      </c>
      <c r="AB15" s="11" t="s">
        <v>29</v>
      </c>
      <c r="AC15" s="11" t="s">
        <v>261</v>
      </c>
      <c r="AD15" s="11" t="s">
        <v>261</v>
      </c>
      <c r="AE15" s="11" t="s">
        <v>551</v>
      </c>
      <c r="AF15" s="12" t="s">
        <v>261</v>
      </c>
      <c r="AG15" s="11" t="s">
        <v>261</v>
      </c>
    </row>
    <row r="16" spans="1:33" ht="30" hidden="1" x14ac:dyDescent="0.25">
      <c r="A16" s="11">
        <v>1</v>
      </c>
      <c r="B16" s="3" t="s">
        <v>261</v>
      </c>
      <c r="C16" s="11">
        <v>195174</v>
      </c>
      <c r="D16" s="11" t="s">
        <v>55</v>
      </c>
      <c r="E16" s="11" t="str">
        <f>MID(Table2[[#This Row],[تاريخ تاييد]],1,7)</f>
        <v>1403/02</v>
      </c>
      <c r="F16" s="11" t="str">
        <f>MID(Table2[[#This Row],[تاريخ تاييد]],6,2)</f>
        <v>02</v>
      </c>
      <c r="G16" s="11" t="s">
        <v>618</v>
      </c>
      <c r="H16" s="11" t="str">
        <f>VLOOKUP(Table2[[#This Row],[شماره فني]],Sheet7!A:C,3,0)</f>
        <v>جلو آمپر</v>
      </c>
      <c r="I16" s="11" t="str">
        <f>VLOOKUP(Table2[[#This Row],[شماره فني]],Sheet7!A:B,2,0)</f>
        <v>جلو آمپر207  معمولی85 گانه</v>
      </c>
      <c r="J16" s="11" t="s">
        <v>56</v>
      </c>
      <c r="K16" s="11" t="s">
        <v>724</v>
      </c>
      <c r="L16" s="11" t="s">
        <v>22</v>
      </c>
      <c r="M16" s="11" t="s">
        <v>99</v>
      </c>
      <c r="N16" s="11" t="s">
        <v>261</v>
      </c>
      <c r="O16" s="11" t="s">
        <v>261</v>
      </c>
      <c r="P16" s="11" t="s">
        <v>261</v>
      </c>
      <c r="Q16" s="11" t="s">
        <v>261</v>
      </c>
      <c r="R16" s="11" t="s">
        <v>103</v>
      </c>
      <c r="S16" s="11" t="s">
        <v>261</v>
      </c>
      <c r="T16" s="11" t="s">
        <v>231</v>
      </c>
      <c r="U16" s="11" t="s">
        <v>797</v>
      </c>
      <c r="V16" s="11" t="s">
        <v>809</v>
      </c>
      <c r="W16" s="11">
        <v>1</v>
      </c>
      <c r="X16" s="11" t="s">
        <v>30</v>
      </c>
      <c r="Y16" s="11" t="s">
        <v>144</v>
      </c>
      <c r="Z16" s="11" t="s">
        <v>99</v>
      </c>
      <c r="AA16" s="11" t="s">
        <v>66</v>
      </c>
      <c r="AB16" s="11" t="s">
        <v>27</v>
      </c>
      <c r="AC16" s="11" t="s">
        <v>982</v>
      </c>
      <c r="AD16" s="11" t="s">
        <v>261</v>
      </c>
      <c r="AE16" s="11" t="s">
        <v>551</v>
      </c>
      <c r="AF16" s="12" t="s">
        <v>261</v>
      </c>
      <c r="AG16" s="11" t="s">
        <v>261</v>
      </c>
    </row>
    <row r="17" spans="1:33" ht="45" hidden="1" x14ac:dyDescent="0.25">
      <c r="A17" s="11">
        <v>1</v>
      </c>
      <c r="B17" s="3" t="s">
        <v>261</v>
      </c>
      <c r="C17" s="11">
        <v>195199</v>
      </c>
      <c r="D17" s="11" t="s">
        <v>55</v>
      </c>
      <c r="E17" s="11" t="str">
        <f>MID(Table2[[#This Row],[تاريخ تاييد]],1,7)</f>
        <v>1403/02</v>
      </c>
      <c r="F17" s="11" t="str">
        <f>MID(Table2[[#This Row],[تاريخ تاييد]],6,2)</f>
        <v>02</v>
      </c>
      <c r="G17" s="11" t="s">
        <v>618</v>
      </c>
      <c r="H17" s="11" t="str">
        <f>VLOOKUP(Table2[[#This Row],[شماره فني]],Sheet7!A:C,3,0)</f>
        <v>جلو آمپر</v>
      </c>
      <c r="I17" s="11" t="str">
        <f>VLOOKUP(Table2[[#This Row],[شماره فني]],Sheet7!A:B,2,0)</f>
        <v>جلو آمپر تارا اتوماتیک</v>
      </c>
      <c r="J17" s="11" t="s">
        <v>57</v>
      </c>
      <c r="K17" s="11" t="s">
        <v>231</v>
      </c>
      <c r="L17" s="11" t="s">
        <v>261</v>
      </c>
      <c r="M17" s="11" t="s">
        <v>261</v>
      </c>
      <c r="N17" s="11" t="s">
        <v>261</v>
      </c>
      <c r="O17" s="11" t="s">
        <v>261</v>
      </c>
      <c r="P17" s="11" t="s">
        <v>261</v>
      </c>
      <c r="Q17" s="11" t="s">
        <v>261</v>
      </c>
      <c r="R17" s="11" t="s">
        <v>961</v>
      </c>
      <c r="S17" s="11" t="s">
        <v>261</v>
      </c>
      <c r="T17" s="11" t="s">
        <v>261</v>
      </c>
      <c r="U17" s="11" t="s">
        <v>552</v>
      </c>
      <c r="V17" s="11" t="s">
        <v>784</v>
      </c>
      <c r="W17" s="11">
        <v>1</v>
      </c>
      <c r="X17" s="11" t="s">
        <v>20</v>
      </c>
      <c r="Y17" s="11" t="s">
        <v>261</v>
      </c>
      <c r="Z17" s="11" t="s">
        <v>261</v>
      </c>
      <c r="AA17" s="11" t="s">
        <v>261</v>
      </c>
      <c r="AB17" s="11" t="s">
        <v>583</v>
      </c>
      <c r="AC17" s="11" t="s">
        <v>261</v>
      </c>
      <c r="AD17" s="11" t="s">
        <v>261</v>
      </c>
      <c r="AE17" s="11" t="s">
        <v>551</v>
      </c>
      <c r="AF17" s="12" t="s">
        <v>261</v>
      </c>
      <c r="AG17" s="11" t="s">
        <v>261</v>
      </c>
    </row>
    <row r="18" spans="1:33" ht="45" hidden="1" x14ac:dyDescent="0.25">
      <c r="A18" s="11">
        <v>1</v>
      </c>
      <c r="B18" s="3" t="s">
        <v>261</v>
      </c>
      <c r="C18" s="11">
        <v>195215</v>
      </c>
      <c r="D18" s="11" t="s">
        <v>58</v>
      </c>
      <c r="E18" s="11" t="str">
        <f>MID(Table2[[#This Row],[تاريخ تاييد]],1,7)</f>
        <v>1403/02</v>
      </c>
      <c r="F18" s="11" t="str">
        <f>MID(Table2[[#This Row],[تاريخ تاييد]],6,2)</f>
        <v>02</v>
      </c>
      <c r="G18" s="11" t="s">
        <v>618</v>
      </c>
      <c r="H18" s="11" t="str">
        <f>VLOOKUP(Table2[[#This Row],[شماره فني]],Sheet7!A:C,3,0)</f>
        <v>NOD</v>
      </c>
      <c r="I18" s="11" t="str">
        <f>VLOOKUP(Table2[[#This Row],[شماره فني]],Sheet7!A:B,2,0)</f>
        <v>NBCM TARA</v>
      </c>
      <c r="J18" s="11" t="s">
        <v>59</v>
      </c>
      <c r="K18" s="11" t="s">
        <v>232</v>
      </c>
      <c r="L18" s="11" t="s">
        <v>261</v>
      </c>
      <c r="M18" s="11" t="s">
        <v>261</v>
      </c>
      <c r="N18" s="11" t="s">
        <v>261</v>
      </c>
      <c r="O18" s="11" t="s">
        <v>261</v>
      </c>
      <c r="P18" s="11" t="s">
        <v>261</v>
      </c>
      <c r="Q18" s="11" t="s">
        <v>261</v>
      </c>
      <c r="R18" s="11" t="s">
        <v>961</v>
      </c>
      <c r="S18" s="11" t="s">
        <v>261</v>
      </c>
      <c r="T18" s="11" t="s">
        <v>261</v>
      </c>
      <c r="U18" s="11" t="s">
        <v>552</v>
      </c>
      <c r="V18" s="11" t="s">
        <v>784</v>
      </c>
      <c r="W18" s="11">
        <v>1</v>
      </c>
      <c r="X18" s="11" t="s">
        <v>15</v>
      </c>
      <c r="Y18" s="11" t="s">
        <v>261</v>
      </c>
      <c r="Z18" s="11" t="s">
        <v>261</v>
      </c>
      <c r="AA18" s="11" t="s">
        <v>261</v>
      </c>
      <c r="AB18" s="11" t="s">
        <v>583</v>
      </c>
      <c r="AC18" s="11" t="s">
        <v>261</v>
      </c>
      <c r="AD18" s="11" t="s">
        <v>261</v>
      </c>
      <c r="AE18" s="11" t="s">
        <v>551</v>
      </c>
      <c r="AF18" s="12" t="s">
        <v>261</v>
      </c>
      <c r="AG18" s="11" t="s">
        <v>261</v>
      </c>
    </row>
    <row r="19" spans="1:33" ht="30" hidden="1" x14ac:dyDescent="0.25">
      <c r="A19" s="11">
        <v>1</v>
      </c>
      <c r="B19" s="3" t="s">
        <v>261</v>
      </c>
      <c r="C19" s="11">
        <v>195277</v>
      </c>
      <c r="D19" s="11" t="s">
        <v>33</v>
      </c>
      <c r="E19" s="11" t="str">
        <f>MID(Table2[[#This Row],[تاريخ تاييد]],1,7)</f>
        <v>1403/02</v>
      </c>
      <c r="F19" s="11" t="str">
        <f>MID(Table2[[#This Row],[تاريخ تاييد]],6,2)</f>
        <v>02</v>
      </c>
      <c r="G19" s="11" t="s">
        <v>618</v>
      </c>
      <c r="H19" s="11" t="str">
        <f>VLOOKUP(Table2[[#This Row],[شماره فني]],Sheet7!A:C,3,0)</f>
        <v>NOD</v>
      </c>
      <c r="I19" s="11" t="str">
        <f>VLOOKUP(Table2[[#This Row],[شماره فني]],Sheet7!A:B,2,0)</f>
        <v>NBCM TARA</v>
      </c>
      <c r="J19" s="11" t="s">
        <v>60</v>
      </c>
      <c r="K19" s="11" t="s">
        <v>232</v>
      </c>
      <c r="L19" s="11" t="s">
        <v>22</v>
      </c>
      <c r="M19" s="11" t="s">
        <v>99</v>
      </c>
      <c r="N19" s="11" t="s">
        <v>261</v>
      </c>
      <c r="O19" s="11" t="s">
        <v>261</v>
      </c>
      <c r="P19" s="11" t="s">
        <v>261</v>
      </c>
      <c r="Q19" s="11" t="s">
        <v>261</v>
      </c>
      <c r="R19" s="11" t="s">
        <v>102</v>
      </c>
      <c r="S19" s="11" t="s">
        <v>261</v>
      </c>
      <c r="T19" s="11" t="s">
        <v>980</v>
      </c>
      <c r="U19" s="11" t="s">
        <v>815</v>
      </c>
      <c r="V19" s="11" t="s">
        <v>564</v>
      </c>
      <c r="W19" s="11">
        <v>1</v>
      </c>
      <c r="X19" s="11" t="s">
        <v>15</v>
      </c>
      <c r="Y19" s="11" t="s">
        <v>128</v>
      </c>
      <c r="Z19" s="11" t="s">
        <v>99</v>
      </c>
      <c r="AA19" s="11" t="s">
        <v>66</v>
      </c>
      <c r="AB19" s="11" t="s">
        <v>29</v>
      </c>
      <c r="AC19" s="11" t="s">
        <v>261</v>
      </c>
      <c r="AD19" s="11" t="s">
        <v>261</v>
      </c>
      <c r="AE19" s="11" t="s">
        <v>551</v>
      </c>
      <c r="AF19" s="12" t="s">
        <v>261</v>
      </c>
      <c r="AG19" s="11" t="s">
        <v>261</v>
      </c>
    </row>
    <row r="20" spans="1:33" ht="30" hidden="1" x14ac:dyDescent="0.25">
      <c r="A20" s="11">
        <v>1</v>
      </c>
      <c r="B20" s="3" t="s">
        <v>261</v>
      </c>
      <c r="C20" s="11">
        <v>195278</v>
      </c>
      <c r="D20" s="11" t="s">
        <v>33</v>
      </c>
      <c r="E20" s="11" t="str">
        <f>MID(Table2[[#This Row],[تاريخ تاييد]],1,7)</f>
        <v>1403/02</v>
      </c>
      <c r="F20" s="11" t="str">
        <f>MID(Table2[[#This Row],[تاريخ تاييد]],6,2)</f>
        <v>02</v>
      </c>
      <c r="G20" s="11" t="s">
        <v>618</v>
      </c>
      <c r="H20" s="11" t="str">
        <f>VLOOKUP(Table2[[#This Row],[شماره فني]],Sheet7!A:C,3,0)</f>
        <v>جلو آمپر</v>
      </c>
      <c r="I20" s="11" t="str">
        <f>VLOOKUP(Table2[[#This Row],[شماره فني]],Sheet7!A:B,2,0)</f>
        <v>جلو آمپر دنا اتوماتیک</v>
      </c>
      <c r="J20" s="11" t="s">
        <v>61</v>
      </c>
      <c r="K20" s="11" t="s">
        <v>233</v>
      </c>
      <c r="L20" s="11" t="s">
        <v>22</v>
      </c>
      <c r="M20" s="11" t="s">
        <v>99</v>
      </c>
      <c r="N20" s="11" t="s">
        <v>261</v>
      </c>
      <c r="O20" s="11" t="s">
        <v>261</v>
      </c>
      <c r="P20" s="11" t="s">
        <v>261</v>
      </c>
      <c r="Q20" s="11" t="s">
        <v>261</v>
      </c>
      <c r="R20" s="11" t="s">
        <v>108</v>
      </c>
      <c r="S20" s="11" t="s">
        <v>109</v>
      </c>
      <c r="T20" s="11" t="s">
        <v>803</v>
      </c>
      <c r="U20" s="11" t="s">
        <v>797</v>
      </c>
      <c r="V20" s="11" t="s">
        <v>561</v>
      </c>
      <c r="W20" s="11">
        <v>1</v>
      </c>
      <c r="X20" s="11" t="s">
        <v>21</v>
      </c>
      <c r="Y20" s="11" t="s">
        <v>261</v>
      </c>
      <c r="Z20" s="11" t="s">
        <v>99</v>
      </c>
      <c r="AA20" s="11" t="s">
        <v>66</v>
      </c>
      <c r="AB20" s="11" t="s">
        <v>28</v>
      </c>
      <c r="AC20" s="11" t="s">
        <v>261</v>
      </c>
      <c r="AD20" s="11" t="s">
        <v>261</v>
      </c>
      <c r="AE20" s="11" t="s">
        <v>551</v>
      </c>
      <c r="AF20" s="12" t="s">
        <v>261</v>
      </c>
      <c r="AG20" s="11" t="s">
        <v>261</v>
      </c>
    </row>
    <row r="21" spans="1:33" ht="45" hidden="1" x14ac:dyDescent="0.25">
      <c r="A21" s="11">
        <v>1</v>
      </c>
      <c r="B21" s="3" t="s">
        <v>261</v>
      </c>
      <c r="C21" s="11">
        <v>195351</v>
      </c>
      <c r="D21" s="11" t="s">
        <v>33</v>
      </c>
      <c r="E21" s="11" t="str">
        <f>MID(Table2[[#This Row],[تاريخ تاييد]],1,7)</f>
        <v>1403/02</v>
      </c>
      <c r="F21" s="11" t="str">
        <f>MID(Table2[[#This Row],[تاريخ تاييد]],6,2)</f>
        <v>02</v>
      </c>
      <c r="G21" s="11" t="s">
        <v>618</v>
      </c>
      <c r="H21" s="11" t="str">
        <f>VLOOKUP(Table2[[#This Row],[شماره فني]],Sheet7!A:C,3,0)</f>
        <v>NOD</v>
      </c>
      <c r="I21" s="11" t="str">
        <f>VLOOKUP(Table2[[#This Row],[شماره فني]],Sheet7!A:B,2,0)</f>
        <v>NBCM TARA</v>
      </c>
      <c r="J21" s="11" t="s">
        <v>62</v>
      </c>
      <c r="K21" s="11" t="s">
        <v>232</v>
      </c>
      <c r="L21" s="11" t="s">
        <v>261</v>
      </c>
      <c r="M21" s="11" t="s">
        <v>261</v>
      </c>
      <c r="N21" s="11" t="s">
        <v>261</v>
      </c>
      <c r="O21" s="11" t="s">
        <v>261</v>
      </c>
      <c r="P21" s="11" t="s">
        <v>261</v>
      </c>
      <c r="Q21" s="11" t="s">
        <v>261</v>
      </c>
      <c r="R21" s="11" t="s">
        <v>961</v>
      </c>
      <c r="S21" s="11" t="s">
        <v>261</v>
      </c>
      <c r="T21" s="11" t="s">
        <v>261</v>
      </c>
      <c r="U21" s="11" t="s">
        <v>552</v>
      </c>
      <c r="V21" s="11" t="s">
        <v>784</v>
      </c>
      <c r="W21" s="11">
        <v>1</v>
      </c>
      <c r="X21" s="11" t="s">
        <v>15</v>
      </c>
      <c r="Y21" s="11" t="s">
        <v>261</v>
      </c>
      <c r="Z21" s="11" t="s">
        <v>261</v>
      </c>
      <c r="AA21" s="11" t="s">
        <v>261</v>
      </c>
      <c r="AB21" s="11" t="s">
        <v>583</v>
      </c>
      <c r="AC21" s="11" t="s">
        <v>261</v>
      </c>
      <c r="AD21" s="11" t="s">
        <v>261</v>
      </c>
      <c r="AE21" s="11" t="s">
        <v>551</v>
      </c>
      <c r="AF21" s="12" t="s">
        <v>261</v>
      </c>
      <c r="AG21" s="11" t="s">
        <v>261</v>
      </c>
    </row>
    <row r="22" spans="1:33" ht="30" hidden="1" x14ac:dyDescent="0.25">
      <c r="A22" s="11">
        <v>1</v>
      </c>
      <c r="B22" s="3" t="s">
        <v>261</v>
      </c>
      <c r="C22" s="11">
        <v>195609</v>
      </c>
      <c r="D22" s="11" t="s">
        <v>72</v>
      </c>
      <c r="E22" s="11" t="str">
        <f>MID(Table2[[#This Row],[تاريخ تاييد]],1,7)</f>
        <v>1403/02</v>
      </c>
      <c r="F22" s="11" t="str">
        <f>MID(Table2[[#This Row],[تاريخ تاييد]],6,2)</f>
        <v>02</v>
      </c>
      <c r="G22" s="11" t="s">
        <v>618</v>
      </c>
      <c r="H22" s="11" t="str">
        <f>VLOOKUP(Table2[[#This Row],[شماره فني]],Sheet7!A:C,3,0)</f>
        <v>NOD</v>
      </c>
      <c r="I22" s="11" t="str">
        <f>VLOOKUP(Table2[[#This Row],[شماره فني]],Sheet7!A:B,2,0)</f>
        <v>NBCM 207</v>
      </c>
      <c r="J22" s="11" t="s">
        <v>73</v>
      </c>
      <c r="K22" s="11" t="s">
        <v>726</v>
      </c>
      <c r="L22" s="11" t="s">
        <v>22</v>
      </c>
      <c r="M22" s="11" t="s">
        <v>65</v>
      </c>
      <c r="N22" s="11" t="s">
        <v>261</v>
      </c>
      <c r="O22" s="11" t="s">
        <v>261</v>
      </c>
      <c r="P22" s="11" t="s">
        <v>261</v>
      </c>
      <c r="Q22" s="11" t="s">
        <v>261</v>
      </c>
      <c r="R22" s="11" t="s">
        <v>74</v>
      </c>
      <c r="S22" s="11" t="s">
        <v>75</v>
      </c>
      <c r="T22" s="11" t="s">
        <v>802</v>
      </c>
      <c r="U22" s="11" t="s">
        <v>797</v>
      </c>
      <c r="V22" s="11" t="s">
        <v>561</v>
      </c>
      <c r="W22" s="11">
        <v>1</v>
      </c>
      <c r="X22" s="11" t="s">
        <v>19</v>
      </c>
      <c r="Y22" s="11" t="s">
        <v>131</v>
      </c>
      <c r="Z22" s="11" t="s">
        <v>65</v>
      </c>
      <c r="AA22" s="11" t="s">
        <v>66</v>
      </c>
      <c r="AB22" s="11" t="s">
        <v>28</v>
      </c>
      <c r="AC22" s="11" t="s">
        <v>261</v>
      </c>
      <c r="AD22" s="11" t="s">
        <v>261</v>
      </c>
      <c r="AE22" s="11" t="s">
        <v>551</v>
      </c>
      <c r="AF22" s="12" t="s">
        <v>261</v>
      </c>
      <c r="AG22" s="11" t="s">
        <v>261</v>
      </c>
    </row>
    <row r="23" spans="1:33" ht="30" hidden="1" x14ac:dyDescent="0.25">
      <c r="A23" s="11">
        <v>1</v>
      </c>
      <c r="B23" s="3" t="s">
        <v>261</v>
      </c>
      <c r="C23" s="11">
        <v>195610</v>
      </c>
      <c r="D23" s="11" t="s">
        <v>63</v>
      </c>
      <c r="E23" s="11" t="str">
        <f>MID(Table2[[#This Row],[تاريخ تاييد]],1,7)</f>
        <v>1403/02</v>
      </c>
      <c r="F23" s="11" t="str">
        <f>MID(Table2[[#This Row],[تاريخ تاييد]],6,2)</f>
        <v>02</v>
      </c>
      <c r="G23" s="11" t="s">
        <v>618</v>
      </c>
      <c r="H23" s="11" t="str">
        <f>VLOOKUP(Table2[[#This Row],[شماره فني]],Sheet7!A:C,3,0)</f>
        <v>NOD</v>
      </c>
      <c r="I23" s="11" t="str">
        <f>VLOOKUP(Table2[[#This Row],[شماره فني]],Sheet7!A:B,2,0)</f>
        <v>NBCM 207</v>
      </c>
      <c r="J23" s="11" t="s">
        <v>64</v>
      </c>
      <c r="K23" s="11" t="s">
        <v>730</v>
      </c>
      <c r="L23" s="11" t="s">
        <v>22</v>
      </c>
      <c r="M23" s="11" t="s">
        <v>65</v>
      </c>
      <c r="N23" s="11" t="s">
        <v>261</v>
      </c>
      <c r="O23" s="11" t="s">
        <v>261</v>
      </c>
      <c r="P23" s="11" t="s">
        <v>261</v>
      </c>
      <c r="Q23" s="11" t="s">
        <v>261</v>
      </c>
      <c r="R23" s="11" t="s">
        <v>76</v>
      </c>
      <c r="S23" s="11" t="s">
        <v>77</v>
      </c>
      <c r="T23" s="11" t="s">
        <v>817</v>
      </c>
      <c r="U23" s="11" t="s">
        <v>824</v>
      </c>
      <c r="V23" s="11" t="s">
        <v>565</v>
      </c>
      <c r="W23" s="11">
        <v>1</v>
      </c>
      <c r="X23" s="11" t="s">
        <v>19</v>
      </c>
      <c r="Y23" s="11" t="s">
        <v>129</v>
      </c>
      <c r="Z23" s="11" t="s">
        <v>65</v>
      </c>
      <c r="AA23" s="11" t="s">
        <v>66</v>
      </c>
      <c r="AB23" s="11" t="s">
        <v>27</v>
      </c>
      <c r="AC23" s="11" t="s">
        <v>986</v>
      </c>
      <c r="AD23" s="11" t="s">
        <v>261</v>
      </c>
      <c r="AE23" s="11" t="s">
        <v>551</v>
      </c>
      <c r="AF23" s="12" t="s">
        <v>261</v>
      </c>
      <c r="AG23" s="11" t="s">
        <v>261</v>
      </c>
    </row>
    <row r="24" spans="1:33" ht="30" hidden="1" x14ac:dyDescent="0.25">
      <c r="A24" s="11">
        <v>1</v>
      </c>
      <c r="B24" s="3" t="s">
        <v>261</v>
      </c>
      <c r="C24" s="11">
        <v>195610</v>
      </c>
      <c r="D24" s="11" t="s">
        <v>63</v>
      </c>
      <c r="E24" s="11" t="str">
        <f>MID(Table2[[#This Row],[تاريخ تاييد]],1,7)</f>
        <v>1403/02</v>
      </c>
      <c r="F24" s="11" t="str">
        <f>MID(Table2[[#This Row],[تاريخ تاييد]],6,2)</f>
        <v>02</v>
      </c>
      <c r="G24" s="11" t="s">
        <v>618</v>
      </c>
      <c r="H24" s="11" t="str">
        <f>VLOOKUP(Table2[[#This Row],[شماره فني]],Sheet7!A:C,3,0)</f>
        <v>NOD</v>
      </c>
      <c r="I24" s="11" t="str">
        <f>VLOOKUP(Table2[[#This Row],[شماره فني]],Sheet7!A:B,2,0)</f>
        <v>NBCM 207</v>
      </c>
      <c r="J24" s="11" t="s">
        <v>64</v>
      </c>
      <c r="K24" s="11" t="s">
        <v>730</v>
      </c>
      <c r="L24" s="11" t="s">
        <v>22</v>
      </c>
      <c r="M24" s="11" t="s">
        <v>65</v>
      </c>
      <c r="N24" s="11" t="s">
        <v>261</v>
      </c>
      <c r="O24" s="11" t="s">
        <v>261</v>
      </c>
      <c r="P24" s="11" t="s">
        <v>261</v>
      </c>
      <c r="Q24" s="11" t="s">
        <v>261</v>
      </c>
      <c r="R24" s="11" t="s">
        <v>76</v>
      </c>
      <c r="S24" s="11" t="s">
        <v>77</v>
      </c>
      <c r="T24" s="11" t="s">
        <v>817</v>
      </c>
      <c r="U24" s="11" t="s">
        <v>824</v>
      </c>
      <c r="V24" s="11" t="s">
        <v>565</v>
      </c>
      <c r="W24" s="11">
        <v>1</v>
      </c>
      <c r="X24" s="11" t="s">
        <v>19</v>
      </c>
      <c r="Y24" s="11" t="s">
        <v>132</v>
      </c>
      <c r="Z24" s="11" t="s">
        <v>65</v>
      </c>
      <c r="AA24" s="11" t="s">
        <v>66</v>
      </c>
      <c r="AB24" s="11" t="s">
        <v>27</v>
      </c>
      <c r="AC24" s="11" t="s">
        <v>986</v>
      </c>
      <c r="AD24" s="11" t="s">
        <v>261</v>
      </c>
      <c r="AE24" s="11" t="s">
        <v>551</v>
      </c>
      <c r="AF24" s="12" t="s">
        <v>261</v>
      </c>
      <c r="AG24" s="11" t="s">
        <v>261</v>
      </c>
    </row>
    <row r="25" spans="1:33" ht="30" hidden="1" x14ac:dyDescent="0.25">
      <c r="A25" s="11">
        <v>1</v>
      </c>
      <c r="B25" s="3" t="s">
        <v>261</v>
      </c>
      <c r="C25" s="11">
        <v>195610</v>
      </c>
      <c r="D25" s="11" t="s">
        <v>63</v>
      </c>
      <c r="E25" s="11" t="str">
        <f>MID(Table2[[#This Row],[تاريخ تاييد]],1,7)</f>
        <v>1403/02</v>
      </c>
      <c r="F25" s="11" t="str">
        <f>MID(Table2[[#This Row],[تاريخ تاييد]],6,2)</f>
        <v>02</v>
      </c>
      <c r="G25" s="11" t="s">
        <v>618</v>
      </c>
      <c r="H25" s="11" t="str">
        <f>VLOOKUP(Table2[[#This Row],[شماره فني]],Sheet7!A:C,3,0)</f>
        <v>NOD</v>
      </c>
      <c r="I25" s="11" t="str">
        <f>VLOOKUP(Table2[[#This Row],[شماره فني]],Sheet7!A:B,2,0)</f>
        <v>NBCM 207</v>
      </c>
      <c r="J25" s="11" t="s">
        <v>64</v>
      </c>
      <c r="K25" s="11" t="s">
        <v>730</v>
      </c>
      <c r="L25" s="11" t="s">
        <v>22</v>
      </c>
      <c r="M25" s="11" t="s">
        <v>65</v>
      </c>
      <c r="N25" s="11" t="s">
        <v>261</v>
      </c>
      <c r="O25" s="11" t="s">
        <v>261</v>
      </c>
      <c r="P25" s="11" t="s">
        <v>261</v>
      </c>
      <c r="Q25" s="11" t="s">
        <v>261</v>
      </c>
      <c r="R25" s="11" t="s">
        <v>137</v>
      </c>
      <c r="S25" s="11" t="s">
        <v>138</v>
      </c>
      <c r="T25" s="11" t="s">
        <v>979</v>
      </c>
      <c r="U25" s="11" t="s">
        <v>1178</v>
      </c>
      <c r="V25" s="11" t="s">
        <v>566</v>
      </c>
      <c r="W25" s="11">
        <v>1</v>
      </c>
      <c r="X25" s="11" t="s">
        <v>19</v>
      </c>
      <c r="Y25" s="11" t="s">
        <v>139</v>
      </c>
      <c r="Z25" s="11" t="s">
        <v>65</v>
      </c>
      <c r="AA25" s="11" t="s">
        <v>66</v>
      </c>
      <c r="AB25" s="11" t="s">
        <v>26</v>
      </c>
      <c r="AC25" s="11" t="s">
        <v>261</v>
      </c>
      <c r="AD25" s="11" t="s">
        <v>583</v>
      </c>
      <c r="AE25" s="11" t="s">
        <v>551</v>
      </c>
      <c r="AF25" s="12" t="s">
        <v>261</v>
      </c>
      <c r="AG25" s="11" t="s">
        <v>261</v>
      </c>
    </row>
    <row r="26" spans="1:33" ht="30" hidden="1" x14ac:dyDescent="0.25">
      <c r="A26" s="11">
        <v>1</v>
      </c>
      <c r="B26" s="3" t="s">
        <v>261</v>
      </c>
      <c r="C26" s="11">
        <v>195610</v>
      </c>
      <c r="D26" s="11" t="s">
        <v>63</v>
      </c>
      <c r="E26" s="11" t="str">
        <f>MID(Table2[[#This Row],[تاريخ تاييد]],1,7)</f>
        <v>1403/02</v>
      </c>
      <c r="F26" s="11" t="str">
        <f>MID(Table2[[#This Row],[تاريخ تاييد]],6,2)</f>
        <v>02</v>
      </c>
      <c r="G26" s="11" t="s">
        <v>618</v>
      </c>
      <c r="H26" s="11" t="str">
        <f>VLOOKUP(Table2[[#This Row],[شماره فني]],Sheet7!A:C,3,0)</f>
        <v>NOD</v>
      </c>
      <c r="I26" s="11" t="str">
        <f>VLOOKUP(Table2[[#This Row],[شماره فني]],Sheet7!A:B,2,0)</f>
        <v>NBCM 207</v>
      </c>
      <c r="J26" s="11" t="s">
        <v>64</v>
      </c>
      <c r="K26" s="11" t="s">
        <v>730</v>
      </c>
      <c r="L26" s="11" t="s">
        <v>22</v>
      </c>
      <c r="M26" s="11" t="s">
        <v>65</v>
      </c>
      <c r="N26" s="11" t="s">
        <v>261</v>
      </c>
      <c r="O26" s="11" t="s">
        <v>261</v>
      </c>
      <c r="P26" s="11" t="s">
        <v>261</v>
      </c>
      <c r="Q26" s="11" t="s">
        <v>261</v>
      </c>
      <c r="R26" s="11" t="s">
        <v>76</v>
      </c>
      <c r="S26" s="11" t="s">
        <v>77</v>
      </c>
      <c r="T26" s="11" t="s">
        <v>817</v>
      </c>
      <c r="U26" s="11" t="s">
        <v>824</v>
      </c>
      <c r="V26" s="11" t="s">
        <v>565</v>
      </c>
      <c r="W26" s="11">
        <v>1</v>
      </c>
      <c r="X26" s="11" t="s">
        <v>19</v>
      </c>
      <c r="Y26" s="11" t="s">
        <v>133</v>
      </c>
      <c r="Z26" s="11" t="s">
        <v>65</v>
      </c>
      <c r="AA26" s="11" t="s">
        <v>66</v>
      </c>
      <c r="AB26" s="11" t="s">
        <v>27</v>
      </c>
      <c r="AC26" s="11" t="s">
        <v>986</v>
      </c>
      <c r="AD26" s="11" t="s">
        <v>261</v>
      </c>
      <c r="AE26" s="11" t="s">
        <v>551</v>
      </c>
      <c r="AF26" s="12" t="s">
        <v>261</v>
      </c>
      <c r="AG26" s="11" t="s">
        <v>261</v>
      </c>
    </row>
    <row r="27" spans="1:33" ht="30" hidden="1" x14ac:dyDescent="0.25">
      <c r="A27" s="11">
        <v>1</v>
      </c>
      <c r="B27" s="3" t="s">
        <v>261</v>
      </c>
      <c r="C27" s="11">
        <v>195610</v>
      </c>
      <c r="D27" s="11" t="s">
        <v>63</v>
      </c>
      <c r="E27" s="11" t="str">
        <f>MID(Table2[[#This Row],[تاريخ تاييد]],1,7)</f>
        <v>1403/02</v>
      </c>
      <c r="F27" s="11" t="str">
        <f>MID(Table2[[#This Row],[تاريخ تاييد]],6,2)</f>
        <v>02</v>
      </c>
      <c r="G27" s="11" t="s">
        <v>618</v>
      </c>
      <c r="H27" s="11" t="str">
        <f>VLOOKUP(Table2[[#This Row],[شماره فني]],Sheet7!A:C,3,0)</f>
        <v>NOD</v>
      </c>
      <c r="I27" s="11" t="str">
        <f>VLOOKUP(Table2[[#This Row],[شماره فني]],Sheet7!A:B,2,0)</f>
        <v>NBCM 207</v>
      </c>
      <c r="J27" s="11" t="s">
        <v>64</v>
      </c>
      <c r="K27" s="11" t="s">
        <v>730</v>
      </c>
      <c r="L27" s="11" t="s">
        <v>23</v>
      </c>
      <c r="M27" s="11" t="s">
        <v>65</v>
      </c>
      <c r="N27" s="11" t="s">
        <v>261</v>
      </c>
      <c r="O27" s="11" t="s">
        <v>261</v>
      </c>
      <c r="P27" s="11" t="s">
        <v>261</v>
      </c>
      <c r="Q27" s="11" t="s">
        <v>261</v>
      </c>
      <c r="R27" s="11" t="s">
        <v>76</v>
      </c>
      <c r="S27" s="11" t="s">
        <v>77</v>
      </c>
      <c r="T27" s="11" t="s">
        <v>817</v>
      </c>
      <c r="U27" s="11" t="s">
        <v>824</v>
      </c>
      <c r="V27" s="11" t="s">
        <v>565</v>
      </c>
      <c r="W27" s="11">
        <v>1</v>
      </c>
      <c r="X27" s="11" t="s">
        <v>19</v>
      </c>
      <c r="Y27" s="11" t="s">
        <v>130</v>
      </c>
      <c r="Z27" s="11" t="s">
        <v>65</v>
      </c>
      <c r="AA27" s="11" t="s">
        <v>66</v>
      </c>
      <c r="AB27" s="11" t="s">
        <v>27</v>
      </c>
      <c r="AC27" s="11" t="s">
        <v>986</v>
      </c>
      <c r="AD27" s="11" t="s">
        <v>261</v>
      </c>
      <c r="AE27" s="11" t="s">
        <v>551</v>
      </c>
      <c r="AF27" s="12" t="s">
        <v>261</v>
      </c>
      <c r="AG27" s="11" t="s">
        <v>261</v>
      </c>
    </row>
    <row r="28" spans="1:33" ht="30" hidden="1" x14ac:dyDescent="0.25">
      <c r="A28" s="11">
        <v>1</v>
      </c>
      <c r="B28" s="3" t="s">
        <v>261</v>
      </c>
      <c r="C28" s="11">
        <v>195770</v>
      </c>
      <c r="D28" s="11" t="s">
        <v>72</v>
      </c>
      <c r="E28" s="11" t="str">
        <f>MID(Table2[[#This Row],[تاريخ تاييد]],1,7)</f>
        <v>1403/02</v>
      </c>
      <c r="F28" s="11" t="str">
        <f>MID(Table2[[#This Row],[تاريخ تاييد]],6,2)</f>
        <v>02</v>
      </c>
      <c r="G28" s="11" t="s">
        <v>618</v>
      </c>
      <c r="H28" s="11" t="str">
        <f>VLOOKUP(Table2[[#This Row],[شماره فني]],Sheet7!A:C,3,0)</f>
        <v>جلو آمپر</v>
      </c>
      <c r="I28" s="11" t="str">
        <f>VLOOKUP(Table2[[#This Row],[شماره فني]],Sheet7!A:B,2,0)</f>
        <v>جلو آمپر دنا اتوماتیک</v>
      </c>
      <c r="J28" s="11" t="s">
        <v>78</v>
      </c>
      <c r="K28" s="11" t="s">
        <v>231</v>
      </c>
      <c r="L28" s="11" t="s">
        <v>22</v>
      </c>
      <c r="M28" s="11" t="s">
        <v>99</v>
      </c>
      <c r="N28" s="11" t="s">
        <v>261</v>
      </c>
      <c r="O28" s="11" t="s">
        <v>261</v>
      </c>
      <c r="P28" s="11" t="s">
        <v>261</v>
      </c>
      <c r="Q28" s="11" t="s">
        <v>261</v>
      </c>
      <c r="R28" s="11" t="s">
        <v>104</v>
      </c>
      <c r="S28" s="11" t="s">
        <v>105</v>
      </c>
      <c r="T28" s="11" t="s">
        <v>231</v>
      </c>
      <c r="U28" s="11" t="s">
        <v>797</v>
      </c>
      <c r="V28" s="11" t="s">
        <v>561</v>
      </c>
      <c r="W28" s="11">
        <v>2</v>
      </c>
      <c r="X28" s="11" t="s">
        <v>21</v>
      </c>
      <c r="Y28" s="11" t="s">
        <v>261</v>
      </c>
      <c r="Z28" s="11" t="s">
        <v>99</v>
      </c>
      <c r="AA28" s="11" t="s">
        <v>66</v>
      </c>
      <c r="AB28" s="11" t="s">
        <v>28</v>
      </c>
      <c r="AC28" s="11" t="s">
        <v>261</v>
      </c>
      <c r="AD28" s="11" t="s">
        <v>261</v>
      </c>
      <c r="AE28" s="11" t="s">
        <v>551</v>
      </c>
      <c r="AF28" s="12" t="s">
        <v>261</v>
      </c>
      <c r="AG28" s="11" t="s">
        <v>261</v>
      </c>
    </row>
    <row r="29" spans="1:33" ht="30" hidden="1" x14ac:dyDescent="0.25">
      <c r="A29" s="11">
        <v>1</v>
      </c>
      <c r="B29" s="3" t="s">
        <v>261</v>
      </c>
      <c r="C29" s="11">
        <v>195792</v>
      </c>
      <c r="D29" s="11" t="s">
        <v>72</v>
      </c>
      <c r="E29" s="11" t="str">
        <f>MID(Table2[[#This Row],[تاريخ تاييد]],1,7)</f>
        <v>1403/02</v>
      </c>
      <c r="F29" s="11" t="str">
        <f>MID(Table2[[#This Row],[تاريخ تاييد]],6,2)</f>
        <v>02</v>
      </c>
      <c r="G29" s="11" t="s">
        <v>618</v>
      </c>
      <c r="H29" s="11" t="str">
        <f>VLOOKUP(Table2[[#This Row],[شماره فني]],Sheet7!A:C,3,0)</f>
        <v>NOD</v>
      </c>
      <c r="I29" s="11" t="str">
        <f>VLOOKUP(Table2[[#This Row],[شماره فني]],Sheet7!A:B,2,0)</f>
        <v>NBCM TARA SAL</v>
      </c>
      <c r="J29" s="11" t="s">
        <v>79</v>
      </c>
      <c r="K29" s="11" t="s">
        <v>234</v>
      </c>
      <c r="L29" s="11" t="s">
        <v>22</v>
      </c>
      <c r="M29" s="11" t="s">
        <v>99</v>
      </c>
      <c r="N29" s="11" t="s">
        <v>261</v>
      </c>
      <c r="O29" s="11" t="s">
        <v>261</v>
      </c>
      <c r="P29" s="11" t="s">
        <v>261</v>
      </c>
      <c r="Q29" s="11" t="s">
        <v>261</v>
      </c>
      <c r="R29" s="11" t="s">
        <v>567</v>
      </c>
      <c r="S29" s="11" t="s">
        <v>261</v>
      </c>
      <c r="T29" s="11" t="s">
        <v>985</v>
      </c>
      <c r="U29" s="11" t="s">
        <v>568</v>
      </c>
      <c r="V29" s="11" t="s">
        <v>569</v>
      </c>
      <c r="W29" s="11">
        <v>150</v>
      </c>
      <c r="X29" s="11" t="s">
        <v>95</v>
      </c>
      <c r="Y29" s="11" t="s">
        <v>261</v>
      </c>
      <c r="Z29" s="11" t="s">
        <v>261</v>
      </c>
      <c r="AA29" s="11" t="s">
        <v>261</v>
      </c>
      <c r="AB29" s="11" t="s">
        <v>29</v>
      </c>
      <c r="AC29" s="11" t="s">
        <v>261</v>
      </c>
      <c r="AD29" s="11" t="s">
        <v>261</v>
      </c>
      <c r="AE29" s="11" t="s">
        <v>551</v>
      </c>
      <c r="AF29" s="12" t="s">
        <v>261</v>
      </c>
      <c r="AG29" s="11" t="s">
        <v>261</v>
      </c>
    </row>
    <row r="30" spans="1:33" ht="30" hidden="1" x14ac:dyDescent="0.25">
      <c r="A30" s="11">
        <v>1</v>
      </c>
      <c r="B30" s="3" t="s">
        <v>261</v>
      </c>
      <c r="C30" s="11">
        <v>195868</v>
      </c>
      <c r="D30" s="11" t="s">
        <v>80</v>
      </c>
      <c r="E30" s="11" t="str">
        <f>MID(Table2[[#This Row],[تاريخ تاييد]],1,7)</f>
        <v>1403/02</v>
      </c>
      <c r="F30" s="11" t="str">
        <f>MID(Table2[[#This Row],[تاريخ تاييد]],6,2)</f>
        <v>02</v>
      </c>
      <c r="G30" s="11" t="s">
        <v>618</v>
      </c>
      <c r="H30" s="11" t="str">
        <f>VLOOKUP(Table2[[#This Row],[شماره فني]],Sheet7!A:C,3,0)</f>
        <v>جلو آمپر</v>
      </c>
      <c r="I30" s="11" t="str">
        <f>VLOOKUP(Table2[[#This Row],[شماره فني]],Sheet7!A:B,2,0)</f>
        <v>جلو آمپر دنا ST</v>
      </c>
      <c r="J30" s="11" t="s">
        <v>81</v>
      </c>
      <c r="K30" s="11" t="s">
        <v>724</v>
      </c>
      <c r="L30" s="11" t="s">
        <v>22</v>
      </c>
      <c r="M30" s="11" t="s">
        <v>99</v>
      </c>
      <c r="N30" s="11" t="s">
        <v>261</v>
      </c>
      <c r="O30" s="11" t="s">
        <v>261</v>
      </c>
      <c r="P30" s="11" t="s">
        <v>261</v>
      </c>
      <c r="Q30" s="11" t="s">
        <v>261</v>
      </c>
      <c r="R30" s="11" t="s">
        <v>106</v>
      </c>
      <c r="S30" s="11" t="s">
        <v>261</v>
      </c>
      <c r="T30" s="11" t="s">
        <v>823</v>
      </c>
      <c r="U30" s="11" t="s">
        <v>824</v>
      </c>
      <c r="V30" s="11" t="s">
        <v>561</v>
      </c>
      <c r="W30" s="11">
        <v>1</v>
      </c>
      <c r="X30" s="11" t="s">
        <v>96</v>
      </c>
      <c r="Y30" s="11" t="s">
        <v>145</v>
      </c>
      <c r="Z30" s="11" t="s">
        <v>99</v>
      </c>
      <c r="AA30" s="11" t="s">
        <v>66</v>
      </c>
      <c r="AB30" s="11" t="s">
        <v>28</v>
      </c>
      <c r="AC30" s="11" t="s">
        <v>261</v>
      </c>
      <c r="AD30" s="11" t="s">
        <v>107</v>
      </c>
      <c r="AE30" s="11" t="s">
        <v>551</v>
      </c>
      <c r="AF30" s="12" t="s">
        <v>261</v>
      </c>
      <c r="AG30" s="11" t="s">
        <v>261</v>
      </c>
    </row>
    <row r="31" spans="1:33" ht="30" hidden="1" x14ac:dyDescent="0.25">
      <c r="A31" s="11">
        <v>1</v>
      </c>
      <c r="B31" s="3" t="s">
        <v>261</v>
      </c>
      <c r="C31" s="11">
        <v>195950</v>
      </c>
      <c r="D31" s="11" t="s">
        <v>82</v>
      </c>
      <c r="E31" s="11" t="str">
        <f>MID(Table2[[#This Row],[تاريخ تاييد]],1,7)</f>
        <v>1403/02</v>
      </c>
      <c r="F31" s="11" t="str">
        <f>MID(Table2[[#This Row],[تاريخ تاييد]],6,2)</f>
        <v>02</v>
      </c>
      <c r="G31" s="11" t="s">
        <v>618</v>
      </c>
      <c r="H31" s="11" t="str">
        <f>VLOOKUP(Table2[[#This Row],[شماره فني]],Sheet7!A:C,3,0)</f>
        <v>NOD</v>
      </c>
      <c r="I31" s="11" t="str">
        <f>VLOOKUP(Table2[[#This Row],[شماره فني]],Sheet7!A:B,2,0)</f>
        <v>NBCM TARA</v>
      </c>
      <c r="J31" s="11" t="s">
        <v>83</v>
      </c>
      <c r="K31" s="11" t="s">
        <v>232</v>
      </c>
      <c r="L31" s="11" t="s">
        <v>22</v>
      </c>
      <c r="M31" s="11" t="s">
        <v>99</v>
      </c>
      <c r="N31" s="11" t="s">
        <v>261</v>
      </c>
      <c r="O31" s="11" t="s">
        <v>261</v>
      </c>
      <c r="P31" s="11" t="s">
        <v>261</v>
      </c>
      <c r="Q31" s="11" t="s">
        <v>261</v>
      </c>
      <c r="R31" s="11" t="s">
        <v>100</v>
      </c>
      <c r="S31" s="11" t="s">
        <v>261</v>
      </c>
      <c r="T31" s="11" t="s">
        <v>822</v>
      </c>
      <c r="U31" s="11" t="s">
        <v>832</v>
      </c>
      <c r="V31" s="11" t="s">
        <v>586</v>
      </c>
      <c r="W31" s="11">
        <v>2</v>
      </c>
      <c r="X31" s="11" t="s">
        <v>15</v>
      </c>
      <c r="Y31" s="11" t="s">
        <v>126</v>
      </c>
      <c r="Z31" s="11" t="s">
        <v>99</v>
      </c>
      <c r="AA31" s="11" t="s">
        <v>66</v>
      </c>
      <c r="AB31" s="11" t="s">
        <v>26</v>
      </c>
      <c r="AC31" s="11" t="s">
        <v>261</v>
      </c>
      <c r="AD31" s="11" t="s">
        <v>101</v>
      </c>
      <c r="AE31" s="11" t="s">
        <v>551</v>
      </c>
      <c r="AF31" s="12" t="s">
        <v>261</v>
      </c>
      <c r="AG31" s="11" t="s">
        <v>261</v>
      </c>
    </row>
    <row r="32" spans="1:33" ht="30" hidden="1" x14ac:dyDescent="0.25">
      <c r="A32" s="11">
        <v>1</v>
      </c>
      <c r="B32" s="3" t="s">
        <v>261</v>
      </c>
      <c r="C32" s="11">
        <v>195950</v>
      </c>
      <c r="D32" s="11" t="s">
        <v>82</v>
      </c>
      <c r="E32" s="11" t="str">
        <f>MID(Table2[[#This Row],[تاريخ تاييد]],1,7)</f>
        <v>1403/02</v>
      </c>
      <c r="F32" s="11" t="str">
        <f>MID(Table2[[#This Row],[تاريخ تاييد]],6,2)</f>
        <v>02</v>
      </c>
      <c r="G32" s="11" t="s">
        <v>618</v>
      </c>
      <c r="H32" s="11" t="str">
        <f>VLOOKUP(Table2[[#This Row],[شماره فني]],Sheet7!A:C,3,0)</f>
        <v>NOD</v>
      </c>
      <c r="I32" s="11" t="str">
        <f>VLOOKUP(Table2[[#This Row],[شماره فني]],Sheet7!A:B,2,0)</f>
        <v>NBCM TARA</v>
      </c>
      <c r="J32" s="11" t="s">
        <v>83</v>
      </c>
      <c r="K32" s="11" t="s">
        <v>232</v>
      </c>
      <c r="L32" s="11" t="s">
        <v>22</v>
      </c>
      <c r="M32" s="11" t="s">
        <v>99</v>
      </c>
      <c r="N32" s="11" t="s">
        <v>261</v>
      </c>
      <c r="O32" s="11" t="s">
        <v>261</v>
      </c>
      <c r="P32" s="11" t="s">
        <v>261</v>
      </c>
      <c r="Q32" s="11" t="s">
        <v>261</v>
      </c>
      <c r="R32" s="11" t="s">
        <v>100</v>
      </c>
      <c r="S32" s="11" t="s">
        <v>261</v>
      </c>
      <c r="T32" s="11" t="s">
        <v>822</v>
      </c>
      <c r="U32" s="11" t="s">
        <v>832</v>
      </c>
      <c r="V32" s="11" t="s">
        <v>586</v>
      </c>
      <c r="W32" s="11">
        <v>2</v>
      </c>
      <c r="X32" s="11" t="s">
        <v>15</v>
      </c>
      <c r="Y32" s="11" t="s">
        <v>127</v>
      </c>
      <c r="Z32" s="11" t="s">
        <v>99</v>
      </c>
      <c r="AA32" s="11" t="s">
        <v>66</v>
      </c>
      <c r="AB32" s="11" t="s">
        <v>26</v>
      </c>
      <c r="AC32" s="11" t="s">
        <v>261</v>
      </c>
      <c r="AD32" s="11" t="s">
        <v>101</v>
      </c>
      <c r="AE32" s="11" t="s">
        <v>551</v>
      </c>
      <c r="AF32" s="12" t="s">
        <v>261</v>
      </c>
      <c r="AG32" s="11" t="s">
        <v>261</v>
      </c>
    </row>
    <row r="33" spans="1:33" ht="30" hidden="1" x14ac:dyDescent="0.25">
      <c r="A33" s="11">
        <v>1</v>
      </c>
      <c r="B33" s="3" t="s">
        <v>261</v>
      </c>
      <c r="C33" s="11">
        <v>196457</v>
      </c>
      <c r="D33" s="11" t="s">
        <v>84</v>
      </c>
      <c r="E33" s="11" t="str">
        <f>MID(Table2[[#This Row],[تاريخ تاييد]],1,7)</f>
        <v>1403/03</v>
      </c>
      <c r="F33" s="11" t="str">
        <f>MID(Table2[[#This Row],[تاريخ تاييد]],6,2)</f>
        <v>03</v>
      </c>
      <c r="G33" s="11" t="s">
        <v>618</v>
      </c>
      <c r="H33" s="11" t="str">
        <f>VLOOKUP(Table2[[#This Row],[شماره فني]],Sheet7!A:C,3,0)</f>
        <v>جلو آمپر</v>
      </c>
      <c r="I33" s="11" t="str">
        <f>VLOOKUP(Table2[[#This Row],[شماره فني]],Sheet7!A:B,2,0)</f>
        <v>جلو آمپر207  معمولی85 گانه</v>
      </c>
      <c r="J33" s="11" t="s">
        <v>85</v>
      </c>
      <c r="K33" s="11" t="s">
        <v>231</v>
      </c>
      <c r="L33" s="11" t="s">
        <v>23</v>
      </c>
      <c r="M33" s="11" t="s">
        <v>122</v>
      </c>
      <c r="N33" s="11" t="s">
        <v>261</v>
      </c>
      <c r="O33" s="11" t="s">
        <v>261</v>
      </c>
      <c r="P33" s="11" t="s">
        <v>261</v>
      </c>
      <c r="Q33" s="11" t="s">
        <v>261</v>
      </c>
      <c r="R33" s="11" t="s">
        <v>5</v>
      </c>
      <c r="S33" s="11" t="s">
        <v>261</v>
      </c>
      <c r="T33" s="11" t="s">
        <v>231</v>
      </c>
      <c r="U33" s="11" t="s">
        <v>797</v>
      </c>
      <c r="V33" s="11" t="s">
        <v>561</v>
      </c>
      <c r="W33" s="11">
        <v>2</v>
      </c>
      <c r="X33" s="11" t="s">
        <v>30</v>
      </c>
      <c r="Y33" s="11" t="s">
        <v>261</v>
      </c>
      <c r="Z33" s="11" t="s">
        <v>122</v>
      </c>
      <c r="AA33" s="11" t="s">
        <v>66</v>
      </c>
      <c r="AB33" s="11" t="s">
        <v>28</v>
      </c>
      <c r="AC33" s="11" t="s">
        <v>261</v>
      </c>
      <c r="AD33" s="11" t="s">
        <v>261</v>
      </c>
      <c r="AE33" s="11" t="s">
        <v>551</v>
      </c>
      <c r="AF33" s="12" t="s">
        <v>261</v>
      </c>
      <c r="AG33" s="11" t="s">
        <v>261</v>
      </c>
    </row>
    <row r="34" spans="1:33" ht="30" hidden="1" x14ac:dyDescent="0.25">
      <c r="A34" s="11">
        <v>1</v>
      </c>
      <c r="B34" s="3" t="s">
        <v>261</v>
      </c>
      <c r="C34" s="11">
        <v>196490</v>
      </c>
      <c r="D34" s="11" t="s">
        <v>84</v>
      </c>
      <c r="E34" s="11" t="str">
        <f>MID(Table2[[#This Row],[تاريخ تاييد]],1,7)</f>
        <v>1403/03</v>
      </c>
      <c r="F34" s="11" t="str">
        <f>MID(Table2[[#This Row],[تاريخ تاييد]],6,2)</f>
        <v>03</v>
      </c>
      <c r="G34" s="11" t="s">
        <v>618</v>
      </c>
      <c r="H34" s="11" t="str">
        <f>VLOOKUP(Table2[[#This Row],[شماره فني]],Sheet7!A:C,3,0)</f>
        <v>جلو آمپر</v>
      </c>
      <c r="I34" s="11" t="str">
        <f>VLOOKUP(Table2[[#This Row],[شماره فني]],Sheet7!A:B,2,0)</f>
        <v>جلو آمپر تارا دستی</v>
      </c>
      <c r="J34" s="11" t="s">
        <v>86</v>
      </c>
      <c r="K34" s="11" t="s">
        <v>233</v>
      </c>
      <c r="L34" s="11" t="s">
        <v>22</v>
      </c>
      <c r="M34" s="11" t="s">
        <v>122</v>
      </c>
      <c r="N34" s="11" t="s">
        <v>261</v>
      </c>
      <c r="O34" s="11" t="s">
        <v>261</v>
      </c>
      <c r="P34" s="11" t="s">
        <v>261</v>
      </c>
      <c r="Q34" s="11" t="s">
        <v>261</v>
      </c>
      <c r="R34" s="11" t="s">
        <v>146</v>
      </c>
      <c r="S34" s="11" t="s">
        <v>261</v>
      </c>
      <c r="T34" s="11" t="s">
        <v>801</v>
      </c>
      <c r="U34" s="11" t="s">
        <v>797</v>
      </c>
      <c r="V34" s="11" t="s">
        <v>561</v>
      </c>
      <c r="W34" s="11">
        <v>1</v>
      </c>
      <c r="X34" s="11" t="s">
        <v>97</v>
      </c>
      <c r="Y34" s="11" t="s">
        <v>147</v>
      </c>
      <c r="Z34" s="11" t="s">
        <v>122</v>
      </c>
      <c r="AA34" s="11" t="s">
        <v>66</v>
      </c>
      <c r="AB34" s="11" t="s">
        <v>28</v>
      </c>
      <c r="AC34" s="11" t="s">
        <v>261</v>
      </c>
      <c r="AD34" s="11" t="s">
        <v>261</v>
      </c>
      <c r="AE34" s="11" t="s">
        <v>551</v>
      </c>
      <c r="AF34" s="12" t="s">
        <v>261</v>
      </c>
      <c r="AG34" s="11" t="s">
        <v>261</v>
      </c>
    </row>
    <row r="35" spans="1:33" ht="30" hidden="1" x14ac:dyDescent="0.25">
      <c r="A35" s="11">
        <v>1</v>
      </c>
      <c r="B35" s="3" t="s">
        <v>261</v>
      </c>
      <c r="C35" s="11">
        <v>196491</v>
      </c>
      <c r="D35" s="11" t="s">
        <v>84</v>
      </c>
      <c r="E35" s="11" t="str">
        <f>MID(Table2[[#This Row],[تاريخ تاييد]],1,7)</f>
        <v>1403/03</v>
      </c>
      <c r="F35" s="11" t="str">
        <f>MID(Table2[[#This Row],[تاريخ تاييد]],6,2)</f>
        <v>03</v>
      </c>
      <c r="G35" s="11" t="s">
        <v>618</v>
      </c>
      <c r="H35" s="11" t="str">
        <f>VLOOKUP(Table2[[#This Row],[شماره فني]],Sheet7!A:C,3,0)</f>
        <v>NOD</v>
      </c>
      <c r="I35" s="11" t="str">
        <f>VLOOKUP(Table2[[#This Row],[شماره فني]],Sheet7!A:B,2,0)</f>
        <v>NBCM TARA SAL</v>
      </c>
      <c r="J35" s="11" t="s">
        <v>87</v>
      </c>
      <c r="K35" s="11" t="s">
        <v>730</v>
      </c>
      <c r="L35" s="11" t="s">
        <v>22</v>
      </c>
      <c r="M35" s="11" t="s">
        <v>122</v>
      </c>
      <c r="N35" s="11" t="s">
        <v>261</v>
      </c>
      <c r="O35" s="11" t="s">
        <v>261</v>
      </c>
      <c r="P35" s="11" t="s">
        <v>261</v>
      </c>
      <c r="Q35" s="11" t="s">
        <v>261</v>
      </c>
      <c r="R35" s="11" t="s">
        <v>123</v>
      </c>
      <c r="S35" s="11" t="s">
        <v>258</v>
      </c>
      <c r="T35" s="11" t="s">
        <v>817</v>
      </c>
      <c r="U35" s="11" t="s">
        <v>824</v>
      </c>
      <c r="V35" s="11" t="s">
        <v>565</v>
      </c>
      <c r="W35" s="11">
        <v>1</v>
      </c>
      <c r="X35" s="11" t="s">
        <v>95</v>
      </c>
      <c r="Y35" s="11" t="s">
        <v>134</v>
      </c>
      <c r="Z35" s="11" t="s">
        <v>122</v>
      </c>
      <c r="AA35" s="11" t="s">
        <v>66</v>
      </c>
      <c r="AB35" s="11" t="s">
        <v>27</v>
      </c>
      <c r="AC35" s="11" t="s">
        <v>986</v>
      </c>
      <c r="AD35" s="11" t="s">
        <v>261</v>
      </c>
      <c r="AE35" s="11" t="s">
        <v>551</v>
      </c>
      <c r="AF35" s="12" t="s">
        <v>261</v>
      </c>
      <c r="AG35" s="11" t="s">
        <v>261</v>
      </c>
    </row>
    <row r="36" spans="1:33" ht="72.75" hidden="1" customHeight="1" x14ac:dyDescent="0.25">
      <c r="A36" s="11">
        <v>1</v>
      </c>
      <c r="B36" s="3" t="s">
        <v>261</v>
      </c>
      <c r="C36" s="11">
        <v>196551</v>
      </c>
      <c r="D36" s="11" t="s">
        <v>88</v>
      </c>
      <c r="E36" s="11" t="str">
        <f>MID(Table2[[#This Row],[تاريخ تاييد]],1,7)</f>
        <v>1403/03</v>
      </c>
      <c r="F36" s="11" t="str">
        <f>MID(Table2[[#This Row],[تاريخ تاييد]],6,2)</f>
        <v>03</v>
      </c>
      <c r="G36" s="11" t="s">
        <v>618</v>
      </c>
      <c r="H36" s="11" t="str">
        <f>VLOOKUP(Table2[[#This Row],[شماره فني]],Sheet7!A:C,3,0)</f>
        <v>جلو آمپر</v>
      </c>
      <c r="I36" s="11" t="str">
        <f>VLOOKUP(Table2[[#This Row],[شماره فني]],Sheet7!A:B,2,0)</f>
        <v>جلو آمپر207  معمولی85 گانه</v>
      </c>
      <c r="J36" s="11" t="s">
        <v>110</v>
      </c>
      <c r="K36" s="11" t="s">
        <v>723</v>
      </c>
      <c r="L36" s="11" t="s">
        <v>261</v>
      </c>
      <c r="M36" s="11" t="s">
        <v>261</v>
      </c>
      <c r="N36" s="11" t="s">
        <v>261</v>
      </c>
      <c r="O36" s="11" t="s">
        <v>261</v>
      </c>
      <c r="P36" s="11" t="s">
        <v>261</v>
      </c>
      <c r="Q36" s="11" t="s">
        <v>261</v>
      </c>
      <c r="R36" s="11" t="s">
        <v>261</v>
      </c>
      <c r="S36" s="11" t="s">
        <v>261</v>
      </c>
      <c r="T36" s="11" t="s">
        <v>805</v>
      </c>
      <c r="U36" s="11" t="s">
        <v>839</v>
      </c>
      <c r="V36" s="11" t="s">
        <v>561</v>
      </c>
      <c r="W36" s="11">
        <v>1</v>
      </c>
      <c r="X36" s="11" t="s">
        <v>30</v>
      </c>
      <c r="Y36" s="11" t="s">
        <v>261</v>
      </c>
      <c r="Z36" s="11" t="s">
        <v>261</v>
      </c>
      <c r="AA36" s="11" t="s">
        <v>261</v>
      </c>
      <c r="AB36" s="11" t="s">
        <v>28</v>
      </c>
      <c r="AC36" s="11" t="s">
        <v>261</v>
      </c>
      <c r="AD36" s="11" t="s">
        <v>261</v>
      </c>
      <c r="AE36" s="11" t="s">
        <v>551</v>
      </c>
      <c r="AF36" s="12" t="s">
        <v>261</v>
      </c>
      <c r="AG36" s="11" t="s">
        <v>261</v>
      </c>
    </row>
    <row r="37" spans="1:33" ht="57.75" hidden="1" customHeight="1" x14ac:dyDescent="0.25">
      <c r="A37" s="11">
        <v>1</v>
      </c>
      <c r="B37" s="3" t="s">
        <v>261</v>
      </c>
      <c r="C37" s="11">
        <v>196562</v>
      </c>
      <c r="D37" s="11" t="s">
        <v>89</v>
      </c>
      <c r="E37" s="11" t="str">
        <f>MID(Table2[[#This Row],[تاريخ تاييد]],1,7)</f>
        <v>1403/03</v>
      </c>
      <c r="F37" s="11" t="str">
        <f>MID(Table2[[#This Row],[تاريخ تاييد]],6,2)</f>
        <v>03</v>
      </c>
      <c r="G37" s="11" t="s">
        <v>618</v>
      </c>
      <c r="H37" s="11" t="str">
        <f>VLOOKUP(Table2[[#This Row],[شماره فني]],Sheet7!A:C,3,0)</f>
        <v>NOD</v>
      </c>
      <c r="I37" s="11" t="str">
        <f>VLOOKUP(Table2[[#This Row],[شماره فني]],Sheet7!A:B,2,0)</f>
        <v>NBCM TARA</v>
      </c>
      <c r="J37" s="11" t="s">
        <v>90</v>
      </c>
      <c r="K37" s="11" t="s">
        <v>726</v>
      </c>
      <c r="L37" s="11" t="s">
        <v>261</v>
      </c>
      <c r="M37" s="11" t="s">
        <v>261</v>
      </c>
      <c r="N37" s="11" t="s">
        <v>261</v>
      </c>
      <c r="O37" s="11" t="s">
        <v>261</v>
      </c>
      <c r="P37" s="11" t="s">
        <v>261</v>
      </c>
      <c r="Q37" s="11" t="s">
        <v>261</v>
      </c>
      <c r="R37" s="11" t="s">
        <v>961</v>
      </c>
      <c r="S37" s="11" t="s">
        <v>261</v>
      </c>
      <c r="T37" s="11" t="s">
        <v>261</v>
      </c>
      <c r="U37" s="11" t="s">
        <v>552</v>
      </c>
      <c r="V37" s="11" t="s">
        <v>784</v>
      </c>
      <c r="W37" s="11">
        <v>100</v>
      </c>
      <c r="X37" s="11" t="s">
        <v>15</v>
      </c>
      <c r="Y37" s="11" t="s">
        <v>261</v>
      </c>
      <c r="Z37" s="11" t="s">
        <v>261</v>
      </c>
      <c r="AA37" s="11" t="s">
        <v>261</v>
      </c>
      <c r="AB37" s="11" t="s">
        <v>583</v>
      </c>
      <c r="AC37" s="11" t="s">
        <v>261</v>
      </c>
      <c r="AD37" s="11" t="s">
        <v>261</v>
      </c>
      <c r="AE37" s="11" t="s">
        <v>551</v>
      </c>
      <c r="AF37" s="12" t="s">
        <v>261</v>
      </c>
      <c r="AG37" s="11" t="s">
        <v>261</v>
      </c>
    </row>
    <row r="38" spans="1:33" ht="30" hidden="1" x14ac:dyDescent="0.25">
      <c r="A38" s="11">
        <v>1</v>
      </c>
      <c r="B38" s="3" t="s">
        <v>261</v>
      </c>
      <c r="C38" s="11">
        <v>196698</v>
      </c>
      <c r="D38" s="11" t="s">
        <v>91</v>
      </c>
      <c r="E38" s="11" t="str">
        <f>MID(Table2[[#This Row],[تاريخ تاييد]],1,7)</f>
        <v>1403/03</v>
      </c>
      <c r="F38" s="11" t="str">
        <f>MID(Table2[[#This Row],[تاريخ تاييد]],6,2)</f>
        <v>03</v>
      </c>
      <c r="G38" s="11" t="s">
        <v>618</v>
      </c>
      <c r="H38" s="11" t="str">
        <f>VLOOKUP(Table2[[#This Row],[شماره فني]],Sheet7!A:C,3,0)</f>
        <v>جلو آمپر</v>
      </c>
      <c r="I38" s="11" t="str">
        <f>VLOOKUP(Table2[[#This Row],[شماره فني]],Sheet7!A:B,2,0)</f>
        <v>جلو آمپر تارا اتوماتیک</v>
      </c>
      <c r="J38" s="11" t="s">
        <v>92</v>
      </c>
      <c r="K38" s="11" t="s">
        <v>233</v>
      </c>
      <c r="L38" s="11" t="s">
        <v>22</v>
      </c>
      <c r="M38" s="11" t="s">
        <v>179</v>
      </c>
      <c r="N38" s="11" t="s">
        <v>261</v>
      </c>
      <c r="O38" s="11" t="s">
        <v>261</v>
      </c>
      <c r="P38" s="11" t="s">
        <v>261</v>
      </c>
      <c r="Q38" s="11" t="s">
        <v>261</v>
      </c>
      <c r="R38" s="11" t="s">
        <v>167</v>
      </c>
      <c r="S38" s="11" t="s">
        <v>180</v>
      </c>
      <c r="T38" s="11" t="s">
        <v>801</v>
      </c>
      <c r="U38" s="11" t="s">
        <v>797</v>
      </c>
      <c r="V38" s="11" t="s">
        <v>561</v>
      </c>
      <c r="W38" s="11">
        <v>1</v>
      </c>
      <c r="X38" s="11" t="s">
        <v>20</v>
      </c>
      <c r="Y38" s="11" t="s">
        <v>261</v>
      </c>
      <c r="Z38" s="11" t="s">
        <v>179</v>
      </c>
      <c r="AA38" s="11" t="s">
        <v>66</v>
      </c>
      <c r="AB38" s="11" t="s">
        <v>28</v>
      </c>
      <c r="AC38" s="11" t="s">
        <v>261</v>
      </c>
      <c r="AD38" s="11" t="s">
        <v>261</v>
      </c>
      <c r="AE38" s="11" t="s">
        <v>551</v>
      </c>
      <c r="AF38" s="12" t="s">
        <v>261</v>
      </c>
      <c r="AG38" s="11" t="s">
        <v>261</v>
      </c>
    </row>
    <row r="39" spans="1:33" ht="30" hidden="1" x14ac:dyDescent="0.25">
      <c r="A39" s="11">
        <v>1</v>
      </c>
      <c r="B39" s="3" t="s">
        <v>261</v>
      </c>
      <c r="C39" s="11">
        <v>196759</v>
      </c>
      <c r="D39" s="11" t="s">
        <v>93</v>
      </c>
      <c r="E39" s="11" t="str">
        <f>MID(Table2[[#This Row],[تاريخ تاييد]],1,7)</f>
        <v>1403/03</v>
      </c>
      <c r="F39" s="11" t="str">
        <f>MID(Table2[[#This Row],[تاريخ تاييد]],6,2)</f>
        <v>03</v>
      </c>
      <c r="G39" s="11" t="s">
        <v>618</v>
      </c>
      <c r="H39" s="11" t="str">
        <f>VLOOKUP(Table2[[#This Row],[شماره فني]],Sheet7!A:C,3,0)</f>
        <v>NOD</v>
      </c>
      <c r="I39" s="11" t="str">
        <f>VLOOKUP(Table2[[#This Row],[شماره فني]],Sheet7!A:B,2,0)</f>
        <v>NBCM 207</v>
      </c>
      <c r="J39" s="11" t="s">
        <v>94</v>
      </c>
      <c r="K39" s="11" t="s">
        <v>725</v>
      </c>
      <c r="L39" s="11" t="s">
        <v>261</v>
      </c>
      <c r="M39" s="11" t="s">
        <v>261</v>
      </c>
      <c r="N39" s="11" t="s">
        <v>261</v>
      </c>
      <c r="O39" s="11" t="s">
        <v>261</v>
      </c>
      <c r="P39" s="11" t="s">
        <v>261</v>
      </c>
      <c r="Q39" s="11" t="s">
        <v>261</v>
      </c>
      <c r="R39" s="11" t="s">
        <v>261</v>
      </c>
      <c r="S39" s="11" t="s">
        <v>261</v>
      </c>
      <c r="T39" s="11" t="s">
        <v>985</v>
      </c>
      <c r="U39" s="11" t="s">
        <v>738</v>
      </c>
      <c r="V39" s="11" t="s">
        <v>737</v>
      </c>
      <c r="W39" s="11">
        <v>3</v>
      </c>
      <c r="X39" s="11" t="s">
        <v>19</v>
      </c>
      <c r="Y39" s="11" t="s">
        <v>261</v>
      </c>
      <c r="Z39" s="11" t="s">
        <v>99</v>
      </c>
      <c r="AA39" s="11" t="s">
        <v>66</v>
      </c>
      <c r="AB39" s="11" t="s">
        <v>27</v>
      </c>
      <c r="AC39" s="11" t="s">
        <v>988</v>
      </c>
      <c r="AD39" s="11" t="s">
        <v>261</v>
      </c>
      <c r="AE39" s="11" t="s">
        <v>551</v>
      </c>
      <c r="AF39" s="12" t="s">
        <v>261</v>
      </c>
      <c r="AG39" s="11" t="s">
        <v>261</v>
      </c>
    </row>
    <row r="40" spans="1:33" ht="30" hidden="1" x14ac:dyDescent="0.25">
      <c r="A40" s="11">
        <v>1</v>
      </c>
      <c r="B40" s="3" t="s">
        <v>261</v>
      </c>
      <c r="C40" s="11">
        <v>197142</v>
      </c>
      <c r="D40" s="11" t="s">
        <v>112</v>
      </c>
      <c r="E40" s="11" t="str">
        <f>MID(Table2[[#This Row],[تاريخ تاييد]],1,7)</f>
        <v>1403/03</v>
      </c>
      <c r="F40" s="11" t="str">
        <f>MID(Table2[[#This Row],[تاريخ تاييد]],6,2)</f>
        <v>03</v>
      </c>
      <c r="G40" s="11" t="s">
        <v>618</v>
      </c>
      <c r="H40" s="11" t="str">
        <f>VLOOKUP(Table2[[#This Row],[شماره فني]],Sheet7!A:C,3,0)</f>
        <v>NOD</v>
      </c>
      <c r="I40" s="11" t="str">
        <f>VLOOKUP(Table2[[#This Row],[شماره فني]],Sheet7!A:B,2,0)</f>
        <v>NBCM 207</v>
      </c>
      <c r="J40" s="11" t="s">
        <v>113</v>
      </c>
      <c r="K40" s="11" t="s">
        <v>334</v>
      </c>
      <c r="L40" s="11" t="s">
        <v>22</v>
      </c>
      <c r="M40" s="11" t="s">
        <v>151</v>
      </c>
      <c r="N40" s="11" t="s">
        <v>261</v>
      </c>
      <c r="O40" s="11" t="s">
        <v>261</v>
      </c>
      <c r="P40" s="11" t="s">
        <v>261</v>
      </c>
      <c r="Q40" s="11" t="s">
        <v>261</v>
      </c>
      <c r="R40" s="11" t="s">
        <v>806</v>
      </c>
      <c r="S40" s="11" t="s">
        <v>260</v>
      </c>
      <c r="T40" s="11" t="s">
        <v>808</v>
      </c>
      <c r="U40" s="11" t="s">
        <v>809</v>
      </c>
      <c r="V40" s="11" t="s">
        <v>564</v>
      </c>
      <c r="W40" s="11">
        <v>1</v>
      </c>
      <c r="X40" s="11" t="s">
        <v>19</v>
      </c>
      <c r="Y40" s="11" t="s">
        <v>261</v>
      </c>
      <c r="Z40" s="11" t="s">
        <v>151</v>
      </c>
      <c r="AA40" s="11" t="s">
        <v>66</v>
      </c>
      <c r="AB40" s="11" t="s">
        <v>29</v>
      </c>
      <c r="AC40" s="11" t="s">
        <v>261</v>
      </c>
      <c r="AD40" s="11" t="s">
        <v>261</v>
      </c>
      <c r="AE40" s="11" t="s">
        <v>551</v>
      </c>
      <c r="AF40" s="12" t="s">
        <v>261</v>
      </c>
      <c r="AG40" s="11" t="s">
        <v>261</v>
      </c>
    </row>
    <row r="41" spans="1:33" ht="30" hidden="1" x14ac:dyDescent="0.25">
      <c r="A41" s="11">
        <v>1</v>
      </c>
      <c r="B41" s="3" t="s">
        <v>261</v>
      </c>
      <c r="C41" s="11">
        <v>197145</v>
      </c>
      <c r="D41" s="11" t="s">
        <v>112</v>
      </c>
      <c r="E41" s="11" t="str">
        <f>MID(Table2[[#This Row],[تاريخ تاييد]],1,7)</f>
        <v>1403/03</v>
      </c>
      <c r="F41" s="11" t="str">
        <f>MID(Table2[[#This Row],[تاريخ تاييد]],6,2)</f>
        <v>03</v>
      </c>
      <c r="G41" s="11" t="s">
        <v>618</v>
      </c>
      <c r="H41" s="11" t="str">
        <f>VLOOKUP(Table2[[#This Row],[شماره فني]],Sheet7!A:C,3,0)</f>
        <v>جلو آمپر</v>
      </c>
      <c r="I41" s="11" t="str">
        <f>VLOOKUP(Table2[[#This Row],[شماره فني]],Sheet7!A:B,2,0)</f>
        <v>جلو آمپر207 اتوماتیک85 گانه</v>
      </c>
      <c r="J41" s="11" t="s">
        <v>161</v>
      </c>
      <c r="K41" s="11" t="s">
        <v>231</v>
      </c>
      <c r="L41" s="11" t="s">
        <v>22</v>
      </c>
      <c r="M41" s="11" t="s">
        <v>158</v>
      </c>
      <c r="N41" s="11" t="s">
        <v>261</v>
      </c>
      <c r="O41" s="11" t="s">
        <v>261</v>
      </c>
      <c r="P41" s="11" t="s">
        <v>261</v>
      </c>
      <c r="Q41" s="11" t="s">
        <v>261</v>
      </c>
      <c r="R41" s="11" t="s">
        <v>182</v>
      </c>
      <c r="S41" s="11" t="s">
        <v>261</v>
      </c>
      <c r="T41" s="11" t="s">
        <v>231</v>
      </c>
      <c r="U41" s="11" t="s">
        <v>797</v>
      </c>
      <c r="V41" s="11" t="s">
        <v>561</v>
      </c>
      <c r="W41" s="11">
        <v>1</v>
      </c>
      <c r="X41" s="11" t="s">
        <v>31</v>
      </c>
      <c r="Y41" s="11" t="s">
        <v>171</v>
      </c>
      <c r="Z41" s="11" t="s">
        <v>158</v>
      </c>
      <c r="AA41" s="11" t="s">
        <v>66</v>
      </c>
      <c r="AB41" s="11" t="s">
        <v>28</v>
      </c>
      <c r="AC41" s="11" t="s">
        <v>261</v>
      </c>
      <c r="AD41" s="11" t="s">
        <v>261</v>
      </c>
      <c r="AE41" s="11" t="s">
        <v>551</v>
      </c>
      <c r="AF41" s="12" t="s">
        <v>261</v>
      </c>
      <c r="AG41" s="11" t="s">
        <v>261</v>
      </c>
    </row>
    <row r="42" spans="1:33" ht="30" hidden="1" x14ac:dyDescent="0.25">
      <c r="A42" s="11">
        <v>1</v>
      </c>
      <c r="B42" s="3" t="s">
        <v>261</v>
      </c>
      <c r="C42" s="11">
        <v>197145</v>
      </c>
      <c r="D42" s="11" t="s">
        <v>112</v>
      </c>
      <c r="E42" s="11" t="str">
        <f>MID(Table2[[#This Row],[تاريخ تاييد]],1,7)</f>
        <v>1403/03</v>
      </c>
      <c r="F42" s="11" t="str">
        <f>MID(Table2[[#This Row],[تاريخ تاييد]],6,2)</f>
        <v>03</v>
      </c>
      <c r="G42" s="11" t="s">
        <v>618</v>
      </c>
      <c r="H42" s="11" t="str">
        <f>VLOOKUP(Table2[[#This Row],[شماره فني]],Sheet7!A:C,3,0)</f>
        <v>جلو آمپر</v>
      </c>
      <c r="I42" s="11" t="str">
        <f>VLOOKUP(Table2[[#This Row],[شماره فني]],Sheet7!A:B,2,0)</f>
        <v>جلو آمپر207 اتوماتیک85 گانه</v>
      </c>
      <c r="J42" s="11" t="s">
        <v>162</v>
      </c>
      <c r="K42" s="11" t="s">
        <v>724</v>
      </c>
      <c r="L42" s="11" t="s">
        <v>22</v>
      </c>
      <c r="M42" s="11" t="s">
        <v>158</v>
      </c>
      <c r="N42" s="11" t="s">
        <v>261</v>
      </c>
      <c r="O42" s="11" t="s">
        <v>261</v>
      </c>
      <c r="P42" s="11" t="s">
        <v>261</v>
      </c>
      <c r="Q42" s="11" t="s">
        <v>261</v>
      </c>
      <c r="R42" s="11" t="s">
        <v>163</v>
      </c>
      <c r="S42" s="11" t="s">
        <v>164</v>
      </c>
      <c r="T42" s="11" t="s">
        <v>978</v>
      </c>
      <c r="U42" s="11" t="s">
        <v>824</v>
      </c>
      <c r="V42" s="11" t="s">
        <v>586</v>
      </c>
      <c r="W42" s="11">
        <v>1</v>
      </c>
      <c r="X42" s="11" t="s">
        <v>31</v>
      </c>
      <c r="Y42" s="11" t="s">
        <v>171</v>
      </c>
      <c r="Z42" s="11" t="s">
        <v>158</v>
      </c>
      <c r="AA42" s="11" t="s">
        <v>66</v>
      </c>
      <c r="AB42" s="11" t="s">
        <v>26</v>
      </c>
      <c r="AC42" s="11" t="s">
        <v>261</v>
      </c>
      <c r="AD42" s="11" t="s">
        <v>172</v>
      </c>
      <c r="AE42" s="11" t="s">
        <v>551</v>
      </c>
      <c r="AF42" s="12" t="s">
        <v>261</v>
      </c>
      <c r="AG42" s="11" t="s">
        <v>261</v>
      </c>
    </row>
    <row r="43" spans="1:33" ht="30" hidden="1" x14ac:dyDescent="0.25">
      <c r="A43" s="11">
        <v>1</v>
      </c>
      <c r="B43" s="3" t="s">
        <v>261</v>
      </c>
      <c r="C43" s="11">
        <v>197215</v>
      </c>
      <c r="D43" s="11" t="s">
        <v>114</v>
      </c>
      <c r="E43" s="11" t="str">
        <f>MID(Table2[[#This Row],[تاريخ تاييد]],1,7)</f>
        <v>1403/03</v>
      </c>
      <c r="F43" s="11" t="str">
        <f>MID(Table2[[#This Row],[تاريخ تاييد]],6,2)</f>
        <v>03</v>
      </c>
      <c r="G43" s="11" t="s">
        <v>618</v>
      </c>
      <c r="H43" s="11" t="str">
        <f>VLOOKUP(Table2[[#This Row],[شماره فني]],Sheet7!A:C,3,0)</f>
        <v>جلو آمپر</v>
      </c>
      <c r="I43" s="11" t="str">
        <f>VLOOKUP(Table2[[#This Row],[شماره فني]],Sheet7!A:B,2,0)</f>
        <v>جلو آمپر207  معمولی85 گانه</v>
      </c>
      <c r="J43" s="11" t="s">
        <v>115</v>
      </c>
      <c r="K43" s="11" t="s">
        <v>231</v>
      </c>
      <c r="L43" s="11" t="s">
        <v>22</v>
      </c>
      <c r="M43" s="11" t="s">
        <v>158</v>
      </c>
      <c r="N43" s="11" t="s">
        <v>261</v>
      </c>
      <c r="O43" s="11" t="s">
        <v>261</v>
      </c>
      <c r="P43" s="11" t="s">
        <v>261</v>
      </c>
      <c r="Q43" s="11" t="s">
        <v>261</v>
      </c>
      <c r="R43" s="11" t="s">
        <v>159</v>
      </c>
      <c r="S43" s="11" t="s">
        <v>261</v>
      </c>
      <c r="T43" s="11" t="s">
        <v>231</v>
      </c>
      <c r="U43" s="11" t="s">
        <v>797</v>
      </c>
      <c r="V43" s="11" t="s">
        <v>561</v>
      </c>
      <c r="W43" s="11">
        <v>1</v>
      </c>
      <c r="X43" s="11" t="s">
        <v>30</v>
      </c>
      <c r="Y43" s="11" t="s">
        <v>261</v>
      </c>
      <c r="Z43" s="11" t="s">
        <v>158</v>
      </c>
      <c r="AA43" s="11" t="s">
        <v>66</v>
      </c>
      <c r="AB43" s="11" t="s">
        <v>28</v>
      </c>
      <c r="AC43" s="11" t="s">
        <v>261</v>
      </c>
      <c r="AD43" s="11" t="s">
        <v>261</v>
      </c>
      <c r="AE43" s="11" t="s">
        <v>551</v>
      </c>
      <c r="AF43" s="12" t="s">
        <v>261</v>
      </c>
      <c r="AG43" s="11" t="s">
        <v>261</v>
      </c>
    </row>
    <row r="44" spans="1:33" ht="30" hidden="1" x14ac:dyDescent="0.25">
      <c r="A44" s="11">
        <v>1</v>
      </c>
      <c r="B44" s="3" t="s">
        <v>261</v>
      </c>
      <c r="C44" s="11">
        <v>197331</v>
      </c>
      <c r="D44" s="11" t="s">
        <v>116</v>
      </c>
      <c r="E44" s="11" t="str">
        <f>MID(Table2[[#This Row],[تاريخ تاييد]],1,7)</f>
        <v>1403/03</v>
      </c>
      <c r="F44" s="11" t="str">
        <f>MID(Table2[[#This Row],[تاريخ تاييد]],6,2)</f>
        <v>03</v>
      </c>
      <c r="G44" s="11" t="s">
        <v>618</v>
      </c>
      <c r="H44" s="11" t="str">
        <f>VLOOKUP(Table2[[#This Row],[شماره فني]],Sheet7!A:C,3,0)</f>
        <v>جلو آمپر</v>
      </c>
      <c r="I44" s="11" t="str">
        <f>VLOOKUP(Table2[[#This Row],[شماره فني]],Sheet7!A:B,2,0)</f>
        <v>جلو آمپر تارا اتوماتیک</v>
      </c>
      <c r="J44" s="11" t="s">
        <v>92</v>
      </c>
      <c r="K44" s="11" t="s">
        <v>233</v>
      </c>
      <c r="L44" s="11" t="s">
        <v>22</v>
      </c>
      <c r="M44" s="11" t="s">
        <v>165</v>
      </c>
      <c r="N44" s="11" t="s">
        <v>261</v>
      </c>
      <c r="O44" s="11" t="s">
        <v>261</v>
      </c>
      <c r="P44" s="11" t="s">
        <v>261</v>
      </c>
      <c r="Q44" s="11" t="s">
        <v>261</v>
      </c>
      <c r="R44" s="11" t="s">
        <v>167</v>
      </c>
      <c r="S44" s="11" t="s">
        <v>261</v>
      </c>
      <c r="T44" s="11" t="s">
        <v>801</v>
      </c>
      <c r="U44" s="11" t="s">
        <v>797</v>
      </c>
      <c r="V44" s="11" t="s">
        <v>561</v>
      </c>
      <c r="W44" s="11">
        <v>1</v>
      </c>
      <c r="X44" s="11" t="s">
        <v>20</v>
      </c>
      <c r="Y44" s="11" t="s">
        <v>166</v>
      </c>
      <c r="Z44" s="11" t="s">
        <v>165</v>
      </c>
      <c r="AA44" s="11" t="s">
        <v>66</v>
      </c>
      <c r="AB44" s="11" t="s">
        <v>28</v>
      </c>
      <c r="AC44" s="11" t="s">
        <v>261</v>
      </c>
      <c r="AD44" s="11" t="s">
        <v>261</v>
      </c>
      <c r="AE44" s="11" t="s">
        <v>551</v>
      </c>
      <c r="AF44" s="12" t="s">
        <v>261</v>
      </c>
      <c r="AG44" s="11" t="s">
        <v>261</v>
      </c>
    </row>
    <row r="45" spans="1:33" ht="30" hidden="1" x14ac:dyDescent="0.25">
      <c r="A45" s="11">
        <v>1</v>
      </c>
      <c r="B45" s="3" t="s">
        <v>261</v>
      </c>
      <c r="C45" s="11">
        <v>197349</v>
      </c>
      <c r="D45" s="11" t="s">
        <v>116</v>
      </c>
      <c r="E45" s="11" t="str">
        <f>MID(Table2[[#This Row],[تاريخ تاييد]],1,7)</f>
        <v>1403/03</v>
      </c>
      <c r="F45" s="11" t="str">
        <f>MID(Table2[[#This Row],[تاريخ تاييد]],6,2)</f>
        <v>03</v>
      </c>
      <c r="G45" s="11" t="s">
        <v>618</v>
      </c>
      <c r="H45" s="11" t="str">
        <f>VLOOKUP(Table2[[#This Row],[شماره فني]],Sheet7!A:C,3,0)</f>
        <v>جلو آمپر</v>
      </c>
      <c r="I45" s="11" t="str">
        <f>VLOOKUP(Table2[[#This Row],[شماره فني]],Sheet7!A:B,2,0)</f>
        <v>جلو آمپر تارا دستی</v>
      </c>
      <c r="J45" s="11" t="s">
        <v>117</v>
      </c>
      <c r="K45" s="11" t="s">
        <v>231</v>
      </c>
      <c r="L45" s="11" t="s">
        <v>22</v>
      </c>
      <c r="M45" s="11" t="s">
        <v>179</v>
      </c>
      <c r="N45" s="11" t="s">
        <v>261</v>
      </c>
      <c r="O45" s="11" t="s">
        <v>261</v>
      </c>
      <c r="P45" s="11" t="s">
        <v>261</v>
      </c>
      <c r="Q45" s="11" t="s">
        <v>261</v>
      </c>
      <c r="R45" s="11" t="s">
        <v>159</v>
      </c>
      <c r="S45" s="11" t="s">
        <v>160</v>
      </c>
      <c r="T45" s="11" t="s">
        <v>231</v>
      </c>
      <c r="U45" s="11" t="s">
        <v>797</v>
      </c>
      <c r="V45" s="11" t="s">
        <v>561</v>
      </c>
      <c r="W45" s="11">
        <v>1</v>
      </c>
      <c r="X45" s="11" t="s">
        <v>97</v>
      </c>
      <c r="Y45" s="11" t="s">
        <v>181</v>
      </c>
      <c r="Z45" s="11" t="s">
        <v>158</v>
      </c>
      <c r="AA45" s="11" t="s">
        <v>66</v>
      </c>
      <c r="AB45" s="11" t="s">
        <v>28</v>
      </c>
      <c r="AC45" s="11" t="s">
        <v>261</v>
      </c>
      <c r="AD45" s="11" t="s">
        <v>261</v>
      </c>
      <c r="AE45" s="11" t="s">
        <v>551</v>
      </c>
      <c r="AF45" s="12" t="s">
        <v>261</v>
      </c>
      <c r="AG45" s="11" t="s">
        <v>261</v>
      </c>
    </row>
    <row r="46" spans="1:33" ht="45" hidden="1" x14ac:dyDescent="0.25">
      <c r="A46" s="11">
        <v>1</v>
      </c>
      <c r="B46" s="3" t="s">
        <v>261</v>
      </c>
      <c r="C46" s="11">
        <v>197361</v>
      </c>
      <c r="D46" s="11" t="s">
        <v>116</v>
      </c>
      <c r="E46" s="11" t="str">
        <f>MID(Table2[[#This Row],[تاريخ تاييد]],1,7)</f>
        <v>1403/03</v>
      </c>
      <c r="F46" s="11" t="str">
        <f>MID(Table2[[#This Row],[تاريخ تاييد]],6,2)</f>
        <v>03</v>
      </c>
      <c r="G46" s="11" t="s">
        <v>618</v>
      </c>
      <c r="H46" s="11" t="str">
        <f>VLOOKUP(Table2[[#This Row],[شماره فني]],Sheet7!A:C,3,0)</f>
        <v>NOD</v>
      </c>
      <c r="I46" s="11" t="str">
        <f>VLOOKUP(Table2[[#This Row],[شماره فني]],Sheet7!A:B,2,0)</f>
        <v>NBCM TARA SAL</v>
      </c>
      <c r="J46" s="11" t="s">
        <v>118</v>
      </c>
      <c r="K46" s="11" t="s">
        <v>726</v>
      </c>
      <c r="L46" s="11" t="s">
        <v>261</v>
      </c>
      <c r="M46" s="11" t="s">
        <v>261</v>
      </c>
      <c r="N46" s="11" t="s">
        <v>261</v>
      </c>
      <c r="O46" s="11" t="s">
        <v>261</v>
      </c>
      <c r="P46" s="11" t="s">
        <v>261</v>
      </c>
      <c r="Q46" s="11" t="s">
        <v>261</v>
      </c>
      <c r="R46" s="11" t="s">
        <v>961</v>
      </c>
      <c r="S46" s="11" t="s">
        <v>261</v>
      </c>
      <c r="T46" s="11" t="s">
        <v>261</v>
      </c>
      <c r="U46" s="11" t="s">
        <v>552</v>
      </c>
      <c r="V46" s="11" t="s">
        <v>784</v>
      </c>
      <c r="W46" s="11">
        <v>1</v>
      </c>
      <c r="X46" s="11" t="s">
        <v>95</v>
      </c>
      <c r="Y46" s="11" t="s">
        <v>261</v>
      </c>
      <c r="Z46" s="11" t="s">
        <v>261</v>
      </c>
      <c r="AA46" s="11" t="s">
        <v>261</v>
      </c>
      <c r="AB46" s="11" t="s">
        <v>583</v>
      </c>
      <c r="AC46" s="11" t="s">
        <v>261</v>
      </c>
      <c r="AD46" s="11" t="s">
        <v>261</v>
      </c>
      <c r="AE46" s="11" t="s">
        <v>551</v>
      </c>
      <c r="AF46" s="12" t="s">
        <v>261</v>
      </c>
      <c r="AG46" s="11" t="s">
        <v>261</v>
      </c>
    </row>
    <row r="47" spans="1:33" ht="45" hidden="1" x14ac:dyDescent="0.25">
      <c r="A47" s="11">
        <v>1</v>
      </c>
      <c r="B47" s="3" t="s">
        <v>261</v>
      </c>
      <c r="C47" s="11">
        <v>197421</v>
      </c>
      <c r="D47" s="11" t="s">
        <v>116</v>
      </c>
      <c r="E47" s="11" t="str">
        <f>MID(Table2[[#This Row],[تاريخ تاييد]],1,7)</f>
        <v>1403/03</v>
      </c>
      <c r="F47" s="11" t="str">
        <f>MID(Table2[[#This Row],[تاريخ تاييد]],6,2)</f>
        <v>03</v>
      </c>
      <c r="G47" s="11" t="s">
        <v>618</v>
      </c>
      <c r="H47" s="11" t="str">
        <f>VLOOKUP(Table2[[#This Row],[شماره فني]],Sheet7!A:C,3,0)</f>
        <v>MFD</v>
      </c>
      <c r="I47" s="11" t="str">
        <f>VLOOKUP(Table2[[#This Row],[شماره فني]],Sheet7!A:B,2,0)</f>
        <v>MFD RUNNA</v>
      </c>
      <c r="J47" s="11" t="s">
        <v>120</v>
      </c>
      <c r="K47" s="11" t="s">
        <v>231</v>
      </c>
      <c r="L47" s="11" t="s">
        <v>22</v>
      </c>
      <c r="M47" s="11" t="s">
        <v>165</v>
      </c>
      <c r="N47" s="11" t="s">
        <v>261</v>
      </c>
      <c r="O47" s="11" t="s">
        <v>261</v>
      </c>
      <c r="P47" s="11" t="s">
        <v>261</v>
      </c>
      <c r="Q47" s="11" t="s">
        <v>261</v>
      </c>
      <c r="R47" s="11" t="s">
        <v>159</v>
      </c>
      <c r="S47" s="11" t="s">
        <v>160</v>
      </c>
      <c r="T47" s="11" t="s">
        <v>231</v>
      </c>
      <c r="U47" s="11" t="s">
        <v>797</v>
      </c>
      <c r="V47" s="11" t="s">
        <v>561</v>
      </c>
      <c r="W47" s="11">
        <v>1</v>
      </c>
      <c r="X47" s="11" t="s">
        <v>121</v>
      </c>
      <c r="Y47" s="11" t="s">
        <v>169</v>
      </c>
      <c r="Z47" s="11" t="s">
        <v>165</v>
      </c>
      <c r="AA47" s="11" t="s">
        <v>66</v>
      </c>
      <c r="AB47" s="11" t="s">
        <v>28</v>
      </c>
      <c r="AC47" s="11" t="s">
        <v>261</v>
      </c>
      <c r="AD47" s="11" t="s">
        <v>261</v>
      </c>
      <c r="AE47" s="11" t="s">
        <v>551</v>
      </c>
      <c r="AF47" s="12" t="s">
        <v>261</v>
      </c>
      <c r="AG47" s="11" t="s">
        <v>261</v>
      </c>
    </row>
    <row r="48" spans="1:33" ht="45" hidden="1" x14ac:dyDescent="0.25">
      <c r="A48" s="11">
        <v>1</v>
      </c>
      <c r="B48" s="3" t="s">
        <v>261</v>
      </c>
      <c r="C48" s="11">
        <v>197569</v>
      </c>
      <c r="D48" s="11" t="s">
        <v>148</v>
      </c>
      <c r="E48" s="11" t="str">
        <f>MID(Table2[[#This Row],[تاريخ تاييد]],1,7)</f>
        <v>1403/03</v>
      </c>
      <c r="F48" s="11" t="str">
        <f>MID(Table2[[#This Row],[تاريخ تاييد]],6,2)</f>
        <v>03</v>
      </c>
      <c r="G48" s="11" t="s">
        <v>618</v>
      </c>
      <c r="H48" s="11" t="str">
        <f>VLOOKUP(Table2[[#This Row],[شماره فني]],Sheet7!A:C,3,0)</f>
        <v>NOD</v>
      </c>
      <c r="I48" s="11" t="str">
        <f>VLOOKUP(Table2[[#This Row],[شماره فني]],Sheet7!A:B,2,0)</f>
        <v>NBCM 207</v>
      </c>
      <c r="J48" s="11" t="s">
        <v>152</v>
      </c>
      <c r="K48" s="11" t="s">
        <v>235</v>
      </c>
      <c r="L48" s="11" t="s">
        <v>261</v>
      </c>
      <c r="M48" s="11" t="s">
        <v>261</v>
      </c>
      <c r="N48" s="11" t="s">
        <v>261</v>
      </c>
      <c r="O48" s="11" t="s">
        <v>261</v>
      </c>
      <c r="P48" s="11" t="s">
        <v>261</v>
      </c>
      <c r="Q48" s="11" t="s">
        <v>261</v>
      </c>
      <c r="R48" s="11" t="s">
        <v>961</v>
      </c>
      <c r="S48" s="11" t="s">
        <v>261</v>
      </c>
      <c r="T48" s="11" t="s">
        <v>261</v>
      </c>
      <c r="U48" s="11" t="s">
        <v>552</v>
      </c>
      <c r="V48" s="11" t="s">
        <v>784</v>
      </c>
      <c r="W48" s="11">
        <v>1</v>
      </c>
      <c r="X48" s="11" t="s">
        <v>19</v>
      </c>
      <c r="Y48" s="11" t="s">
        <v>261</v>
      </c>
      <c r="Z48" s="11" t="s">
        <v>261</v>
      </c>
      <c r="AA48" s="11" t="s">
        <v>261</v>
      </c>
      <c r="AB48" s="11" t="s">
        <v>583</v>
      </c>
      <c r="AC48" s="11" t="s">
        <v>261</v>
      </c>
      <c r="AD48" s="11" t="s">
        <v>261</v>
      </c>
      <c r="AE48" s="11" t="s">
        <v>551</v>
      </c>
      <c r="AF48" s="12" t="s">
        <v>261</v>
      </c>
      <c r="AG48" s="11" t="s">
        <v>261</v>
      </c>
    </row>
    <row r="49" spans="1:33" ht="45" hidden="1" x14ac:dyDescent="0.25">
      <c r="A49" s="11">
        <v>1</v>
      </c>
      <c r="B49" s="3" t="s">
        <v>261</v>
      </c>
      <c r="C49" s="11">
        <v>197571</v>
      </c>
      <c r="D49" s="11" t="s">
        <v>148</v>
      </c>
      <c r="E49" s="11" t="str">
        <f>MID(Table2[[#This Row],[تاريخ تاييد]],1,7)</f>
        <v>1403/03</v>
      </c>
      <c r="F49" s="11" t="str">
        <f>MID(Table2[[#This Row],[تاريخ تاييد]],6,2)</f>
        <v>03</v>
      </c>
      <c r="G49" s="11" t="s">
        <v>618</v>
      </c>
      <c r="H49" s="11" t="str">
        <f>VLOOKUP(Table2[[#This Row],[شماره فني]],Sheet7!A:C,3,0)</f>
        <v>NOD</v>
      </c>
      <c r="I49" s="11" t="str">
        <f>VLOOKUP(Table2[[#This Row],[شماره فني]],Sheet7!A:B,2,0)</f>
        <v>NBCM TARA SAL</v>
      </c>
      <c r="J49" s="11" t="s">
        <v>153</v>
      </c>
      <c r="K49" s="11" t="s">
        <v>485</v>
      </c>
      <c r="L49" s="11" t="s">
        <v>261</v>
      </c>
      <c r="M49" s="11" t="s">
        <v>261</v>
      </c>
      <c r="N49" s="11" t="s">
        <v>261</v>
      </c>
      <c r="O49" s="11" t="s">
        <v>261</v>
      </c>
      <c r="P49" s="11" t="s">
        <v>261</v>
      </c>
      <c r="Q49" s="11" t="s">
        <v>261</v>
      </c>
      <c r="R49" s="11" t="s">
        <v>961</v>
      </c>
      <c r="S49" s="11" t="s">
        <v>261</v>
      </c>
      <c r="T49" s="11" t="s">
        <v>261</v>
      </c>
      <c r="U49" s="11" t="s">
        <v>552</v>
      </c>
      <c r="V49" s="11" t="s">
        <v>784</v>
      </c>
      <c r="W49" s="11">
        <v>1</v>
      </c>
      <c r="X49" s="11" t="s">
        <v>95</v>
      </c>
      <c r="Y49" s="11" t="s">
        <v>261</v>
      </c>
      <c r="Z49" s="11" t="s">
        <v>261</v>
      </c>
      <c r="AA49" s="11" t="s">
        <v>261</v>
      </c>
      <c r="AB49" s="11" t="s">
        <v>583</v>
      </c>
      <c r="AC49" s="11" t="s">
        <v>261</v>
      </c>
      <c r="AD49" s="11" t="s">
        <v>261</v>
      </c>
      <c r="AE49" s="11" t="s">
        <v>551</v>
      </c>
      <c r="AF49" s="12" t="s">
        <v>261</v>
      </c>
      <c r="AG49" s="11" t="s">
        <v>261</v>
      </c>
    </row>
    <row r="50" spans="1:33" ht="30" hidden="1" x14ac:dyDescent="0.25">
      <c r="A50" s="11">
        <v>1</v>
      </c>
      <c r="B50" s="3" t="s">
        <v>261</v>
      </c>
      <c r="C50" s="11">
        <v>197710</v>
      </c>
      <c r="D50" s="11" t="s">
        <v>149</v>
      </c>
      <c r="E50" s="11" t="str">
        <f>MID(Table2[[#This Row],[تاريخ تاييد]],1,7)</f>
        <v>1403/03</v>
      </c>
      <c r="F50" s="11" t="str">
        <f>MID(Table2[[#This Row],[تاريخ تاييد]],6,2)</f>
        <v>03</v>
      </c>
      <c r="G50" s="11" t="s">
        <v>618</v>
      </c>
      <c r="H50" s="11" t="str">
        <f>VLOOKUP(Table2[[#This Row],[شماره فني]],Sheet7!A:C,3,0)</f>
        <v>جلو آمپر</v>
      </c>
      <c r="I50" s="11" t="str">
        <f>VLOOKUP(Table2[[#This Row],[شماره فني]],Sheet7!A:B,2,0)</f>
        <v>جلو آمپر دنا ST</v>
      </c>
      <c r="J50" s="11" t="s">
        <v>154</v>
      </c>
      <c r="K50" s="11" t="s">
        <v>233</v>
      </c>
      <c r="L50" s="11" t="s">
        <v>22</v>
      </c>
      <c r="M50" s="11" t="s">
        <v>179</v>
      </c>
      <c r="N50" s="11" t="s">
        <v>261</v>
      </c>
      <c r="O50" s="11" t="s">
        <v>261</v>
      </c>
      <c r="P50" s="11" t="s">
        <v>261</v>
      </c>
      <c r="Q50" s="11" t="s">
        <v>261</v>
      </c>
      <c r="R50" s="11" t="s">
        <v>168</v>
      </c>
      <c r="S50" s="11" t="s">
        <v>160</v>
      </c>
      <c r="T50" s="11" t="s">
        <v>803</v>
      </c>
      <c r="U50" s="11" t="s">
        <v>797</v>
      </c>
      <c r="V50" s="11" t="s">
        <v>561</v>
      </c>
      <c r="W50" s="11">
        <v>1</v>
      </c>
      <c r="X50" s="11" t="s">
        <v>96</v>
      </c>
      <c r="Y50" s="11" t="s">
        <v>261</v>
      </c>
      <c r="Z50" s="11" t="s">
        <v>179</v>
      </c>
      <c r="AA50" s="11" t="s">
        <v>66</v>
      </c>
      <c r="AB50" s="11" t="s">
        <v>28</v>
      </c>
      <c r="AC50" s="11" t="s">
        <v>261</v>
      </c>
      <c r="AD50" s="11" t="s">
        <v>261</v>
      </c>
      <c r="AE50" s="11" t="s">
        <v>551</v>
      </c>
      <c r="AF50" s="12" t="s">
        <v>261</v>
      </c>
      <c r="AG50" s="11" t="s">
        <v>261</v>
      </c>
    </row>
    <row r="51" spans="1:33" ht="30" hidden="1" x14ac:dyDescent="0.25">
      <c r="A51" s="11">
        <v>1</v>
      </c>
      <c r="B51" s="3" t="s">
        <v>261</v>
      </c>
      <c r="C51" s="11">
        <v>197751</v>
      </c>
      <c r="D51" s="11" t="s">
        <v>149</v>
      </c>
      <c r="E51" s="11" t="str">
        <f>MID(Table2[[#This Row],[تاريخ تاييد]],1,7)</f>
        <v>1403/03</v>
      </c>
      <c r="F51" s="11" t="str">
        <f>MID(Table2[[#This Row],[تاريخ تاييد]],6,2)</f>
        <v>03</v>
      </c>
      <c r="G51" s="11" t="s">
        <v>618</v>
      </c>
      <c r="H51" s="11" t="str">
        <f>VLOOKUP(Table2[[#This Row],[شماره فني]],Sheet7!A:C,3,0)</f>
        <v>جلو آمپر</v>
      </c>
      <c r="I51" s="11" t="str">
        <f>VLOOKUP(Table2[[#This Row],[شماره فني]],Sheet7!A:B,2,0)</f>
        <v>جلو آمپر207  معمولی85 گانه</v>
      </c>
      <c r="J51" s="11" t="s">
        <v>155</v>
      </c>
      <c r="K51" s="11" t="s">
        <v>334</v>
      </c>
      <c r="L51" s="11" t="s">
        <v>23</v>
      </c>
      <c r="M51" s="11" t="s">
        <v>179</v>
      </c>
      <c r="N51" s="11" t="s">
        <v>261</v>
      </c>
      <c r="O51" s="11" t="s">
        <v>261</v>
      </c>
      <c r="P51" s="11" t="s">
        <v>261</v>
      </c>
      <c r="Q51" s="11" t="s">
        <v>261</v>
      </c>
      <c r="R51" s="11" t="s">
        <v>163</v>
      </c>
      <c r="S51" s="11" t="s">
        <v>261</v>
      </c>
      <c r="T51" s="11" t="s">
        <v>978</v>
      </c>
      <c r="U51" s="11" t="s">
        <v>824</v>
      </c>
      <c r="V51" s="11" t="s">
        <v>586</v>
      </c>
      <c r="W51" s="11">
        <v>1</v>
      </c>
      <c r="X51" s="11" t="s">
        <v>30</v>
      </c>
      <c r="Y51" s="11" t="s">
        <v>261</v>
      </c>
      <c r="Z51" s="11" t="s">
        <v>179</v>
      </c>
      <c r="AA51" s="11" t="s">
        <v>66</v>
      </c>
      <c r="AB51" s="11" t="s">
        <v>26</v>
      </c>
      <c r="AC51" s="11" t="s">
        <v>261</v>
      </c>
      <c r="AD51" s="11" t="s">
        <v>229</v>
      </c>
      <c r="AE51" s="11" t="s">
        <v>551</v>
      </c>
      <c r="AF51" s="12" t="s">
        <v>261</v>
      </c>
      <c r="AG51" s="11" t="s">
        <v>261</v>
      </c>
    </row>
    <row r="52" spans="1:33" ht="30" hidden="1" x14ac:dyDescent="0.25">
      <c r="A52" s="11">
        <v>1</v>
      </c>
      <c r="B52" s="3" t="s">
        <v>261</v>
      </c>
      <c r="C52" s="11">
        <v>197915</v>
      </c>
      <c r="D52" s="11" t="s">
        <v>150</v>
      </c>
      <c r="E52" s="11" t="str">
        <f>MID(Table2[[#This Row],[تاريخ تاييد]],1,7)</f>
        <v>1403/04</v>
      </c>
      <c r="F52" s="11" t="str">
        <f>MID(Table2[[#This Row],[تاريخ تاييد]],6,2)</f>
        <v>04</v>
      </c>
      <c r="G52" s="11" t="s">
        <v>618</v>
      </c>
      <c r="H52" s="11" t="str">
        <f>VLOOKUP(Table2[[#This Row],[شماره فني]],Sheet7!A:C,3,0)</f>
        <v>جلو آمپر</v>
      </c>
      <c r="I52" s="11" t="str">
        <f>VLOOKUP(Table2[[#This Row],[شماره فني]],Sheet7!A:B,2,0)</f>
        <v>جلو آمپر تارا اتوماتیک</v>
      </c>
      <c r="J52" s="11" t="s">
        <v>156</v>
      </c>
      <c r="K52" s="11" t="s">
        <v>233</v>
      </c>
      <c r="L52" s="11" t="s">
        <v>22</v>
      </c>
      <c r="M52" s="11" t="s">
        <v>165</v>
      </c>
      <c r="N52" s="11" t="s">
        <v>261</v>
      </c>
      <c r="O52" s="11" t="s">
        <v>261</v>
      </c>
      <c r="P52" s="11" t="s">
        <v>261</v>
      </c>
      <c r="Q52" s="11" t="s">
        <v>261</v>
      </c>
      <c r="R52" s="11" t="s">
        <v>168</v>
      </c>
      <c r="S52" s="11" t="s">
        <v>160</v>
      </c>
      <c r="T52" s="11" t="s">
        <v>803</v>
      </c>
      <c r="U52" s="11" t="s">
        <v>797</v>
      </c>
      <c r="V52" s="11" t="s">
        <v>561</v>
      </c>
      <c r="W52" s="11">
        <v>1</v>
      </c>
      <c r="X52" s="11" t="s">
        <v>20</v>
      </c>
      <c r="Y52" s="11" t="s">
        <v>170</v>
      </c>
      <c r="Z52" s="11" t="s">
        <v>165</v>
      </c>
      <c r="AA52" s="11" t="s">
        <v>66</v>
      </c>
      <c r="AB52" s="11" t="s">
        <v>28</v>
      </c>
      <c r="AC52" s="11" t="s">
        <v>261</v>
      </c>
      <c r="AD52" s="11" t="s">
        <v>261</v>
      </c>
      <c r="AE52" s="11" t="s">
        <v>551</v>
      </c>
      <c r="AF52" s="12" t="s">
        <v>261</v>
      </c>
      <c r="AG52" s="11" t="s">
        <v>261</v>
      </c>
    </row>
    <row r="53" spans="1:33" ht="30" hidden="1" x14ac:dyDescent="0.25">
      <c r="A53" s="11">
        <v>1</v>
      </c>
      <c r="B53" s="3" t="s">
        <v>261</v>
      </c>
      <c r="C53" s="11">
        <v>198240</v>
      </c>
      <c r="D53" s="11" t="s">
        <v>151</v>
      </c>
      <c r="E53" s="11" t="str">
        <f>MID(Table2[[#This Row],[تاريخ تاييد]],1,7)</f>
        <v>1403/04</v>
      </c>
      <c r="F53" s="11" t="str">
        <f>MID(Table2[[#This Row],[تاريخ تاييد]],6,2)</f>
        <v>04</v>
      </c>
      <c r="G53" s="11" t="s">
        <v>618</v>
      </c>
      <c r="H53" s="11" t="str">
        <f>VLOOKUP(Table2[[#This Row],[شماره فني]],Sheet7!A:C,3,0)</f>
        <v>جلو آمپر</v>
      </c>
      <c r="I53" s="11" t="str">
        <f>VLOOKUP(Table2[[#This Row],[شماره فني]],Sheet7!A:B,2,0)</f>
        <v>جلو آمپر207 اتوماتیک85 گانه</v>
      </c>
      <c r="J53" s="11" t="s">
        <v>157</v>
      </c>
      <c r="K53" s="11" t="s">
        <v>231</v>
      </c>
      <c r="L53" s="11" t="s">
        <v>22</v>
      </c>
      <c r="M53" s="11" t="s">
        <v>213</v>
      </c>
      <c r="N53" s="11" t="s">
        <v>261</v>
      </c>
      <c r="O53" s="11" t="s">
        <v>261</v>
      </c>
      <c r="P53" s="11" t="s">
        <v>261</v>
      </c>
      <c r="Q53" s="11" t="s">
        <v>261</v>
      </c>
      <c r="R53" s="11" t="s">
        <v>214</v>
      </c>
      <c r="S53" s="11" t="s">
        <v>216</v>
      </c>
      <c r="T53" s="11" t="s">
        <v>231</v>
      </c>
      <c r="U53" s="11" t="s">
        <v>797</v>
      </c>
      <c r="V53" s="11" t="s">
        <v>561</v>
      </c>
      <c r="W53" s="11">
        <v>2</v>
      </c>
      <c r="X53" s="11" t="s">
        <v>31</v>
      </c>
      <c r="Y53" s="11" t="s">
        <v>218</v>
      </c>
      <c r="Z53" s="11" t="s">
        <v>222</v>
      </c>
      <c r="AA53" s="11" t="s">
        <v>66</v>
      </c>
      <c r="AB53" s="11" t="s">
        <v>28</v>
      </c>
      <c r="AC53" s="11" t="s">
        <v>261</v>
      </c>
      <c r="AD53" s="11" t="s">
        <v>261</v>
      </c>
      <c r="AE53" s="11" t="s">
        <v>551</v>
      </c>
      <c r="AF53" s="12" t="s">
        <v>261</v>
      </c>
      <c r="AG53" s="11" t="s">
        <v>261</v>
      </c>
    </row>
    <row r="54" spans="1:33" ht="30" hidden="1" x14ac:dyDescent="0.25">
      <c r="A54" s="11">
        <v>1</v>
      </c>
      <c r="B54" s="3" t="s">
        <v>261</v>
      </c>
      <c r="C54" s="11">
        <v>198240</v>
      </c>
      <c r="D54" s="11" t="s">
        <v>151</v>
      </c>
      <c r="E54" s="11" t="str">
        <f>MID(Table2[[#This Row],[تاريخ تاييد]],1,7)</f>
        <v>1403/04</v>
      </c>
      <c r="F54" s="11" t="str">
        <f>MID(Table2[[#This Row],[تاريخ تاييد]],6,2)</f>
        <v>04</v>
      </c>
      <c r="G54" s="11" t="s">
        <v>618</v>
      </c>
      <c r="H54" s="11" t="str">
        <f>VLOOKUP(Table2[[#This Row],[شماره فني]],Sheet7!A:C,3,0)</f>
        <v>جلو آمپر</v>
      </c>
      <c r="I54" s="11" t="str">
        <f>VLOOKUP(Table2[[#This Row],[شماره فني]],Sheet7!A:B,2,0)</f>
        <v>جلو آمپر207 اتوماتیک85 گانه</v>
      </c>
      <c r="J54" s="11" t="s">
        <v>157</v>
      </c>
      <c r="K54" s="11" t="s">
        <v>231</v>
      </c>
      <c r="L54" s="11" t="s">
        <v>22</v>
      </c>
      <c r="M54" s="11" t="s">
        <v>213</v>
      </c>
      <c r="N54" s="11" t="s">
        <v>261</v>
      </c>
      <c r="O54" s="11" t="s">
        <v>261</v>
      </c>
      <c r="P54" s="11" t="s">
        <v>261</v>
      </c>
      <c r="Q54" s="11" t="s">
        <v>261</v>
      </c>
      <c r="R54" s="11" t="s">
        <v>214</v>
      </c>
      <c r="S54" s="11" t="s">
        <v>215</v>
      </c>
      <c r="T54" s="11" t="s">
        <v>231</v>
      </c>
      <c r="U54" s="11" t="s">
        <v>1178</v>
      </c>
      <c r="V54" s="11" t="s">
        <v>586</v>
      </c>
      <c r="W54" s="11">
        <v>2</v>
      </c>
      <c r="X54" s="11" t="s">
        <v>31</v>
      </c>
      <c r="Y54" s="11" t="s">
        <v>219</v>
      </c>
      <c r="Z54" s="11" t="s">
        <v>222</v>
      </c>
      <c r="AA54" s="11" t="s">
        <v>66</v>
      </c>
      <c r="AB54" s="11" t="s">
        <v>26</v>
      </c>
      <c r="AC54" s="11" t="s">
        <v>261</v>
      </c>
      <c r="AD54" s="11" t="s">
        <v>226</v>
      </c>
      <c r="AE54" s="11" t="s">
        <v>551</v>
      </c>
      <c r="AF54" s="12" t="s">
        <v>261</v>
      </c>
      <c r="AG54" s="11" t="s">
        <v>261</v>
      </c>
    </row>
    <row r="55" spans="1:33" ht="45" hidden="1" x14ac:dyDescent="0.25">
      <c r="A55" s="11">
        <v>1</v>
      </c>
      <c r="B55" s="3" t="s">
        <v>261</v>
      </c>
      <c r="C55" s="11">
        <v>198333</v>
      </c>
      <c r="D55" s="11" t="s">
        <v>174</v>
      </c>
      <c r="E55" s="11" t="str">
        <f>MID(Table2[[#This Row],[تاريخ تاييد]],1,7)</f>
        <v>1403/04</v>
      </c>
      <c r="F55" s="11" t="str">
        <f>MID(Table2[[#This Row],[تاريخ تاييد]],6,2)</f>
        <v>04</v>
      </c>
      <c r="G55" s="11" t="s">
        <v>618</v>
      </c>
      <c r="H55" s="11" t="str">
        <f>VLOOKUP(Table2[[#This Row],[شماره فني]],Sheet7!A:C,3,0)</f>
        <v>NOD</v>
      </c>
      <c r="I55" s="11" t="str">
        <f>VLOOKUP(Table2[[#This Row],[شماره فني]],Sheet7!A:B,2,0)</f>
        <v>NBCM 207</v>
      </c>
      <c r="J55" s="11" t="s">
        <v>176</v>
      </c>
      <c r="K55" s="11" t="s">
        <v>726</v>
      </c>
      <c r="L55" s="11" t="s">
        <v>261</v>
      </c>
      <c r="M55" s="11" t="s">
        <v>261</v>
      </c>
      <c r="N55" s="11" t="s">
        <v>261</v>
      </c>
      <c r="O55" s="11" t="s">
        <v>261</v>
      </c>
      <c r="P55" s="11" t="s">
        <v>261</v>
      </c>
      <c r="Q55" s="11" t="s">
        <v>261</v>
      </c>
      <c r="R55" s="11" t="s">
        <v>961</v>
      </c>
      <c r="S55" s="11" t="s">
        <v>261</v>
      </c>
      <c r="T55" s="11" t="s">
        <v>261</v>
      </c>
      <c r="U55" s="11" t="s">
        <v>552</v>
      </c>
      <c r="V55" s="11" t="s">
        <v>784</v>
      </c>
      <c r="W55" s="11">
        <v>1</v>
      </c>
      <c r="X55" s="11" t="s">
        <v>19</v>
      </c>
      <c r="Y55" s="11" t="s">
        <v>209</v>
      </c>
      <c r="Z55" s="11" t="s">
        <v>261</v>
      </c>
      <c r="AA55" s="11" t="s">
        <v>261</v>
      </c>
      <c r="AB55" s="11" t="s">
        <v>583</v>
      </c>
      <c r="AC55" s="11" t="s">
        <v>261</v>
      </c>
      <c r="AD55" s="11" t="s">
        <v>261</v>
      </c>
      <c r="AE55" s="11" t="s">
        <v>551</v>
      </c>
      <c r="AF55" s="12" t="s">
        <v>261</v>
      </c>
      <c r="AG55" s="11" t="s">
        <v>261</v>
      </c>
    </row>
    <row r="56" spans="1:33" ht="45" hidden="1" x14ac:dyDescent="0.25">
      <c r="A56" s="11">
        <v>1</v>
      </c>
      <c r="B56" s="3" t="s">
        <v>261</v>
      </c>
      <c r="C56" s="11">
        <v>198358</v>
      </c>
      <c r="D56" s="11" t="s">
        <v>175</v>
      </c>
      <c r="E56" s="11" t="str">
        <f>MID(Table2[[#This Row],[تاريخ تاييد]],1,7)</f>
        <v>1403/04</v>
      </c>
      <c r="F56" s="11" t="str">
        <f>MID(Table2[[#This Row],[تاريخ تاييد]],6,2)</f>
        <v>04</v>
      </c>
      <c r="G56" s="11" t="s">
        <v>618</v>
      </c>
      <c r="H56" s="11" t="str">
        <f>VLOOKUP(Table2[[#This Row],[شماره فني]],Sheet7!A:C,3,0)</f>
        <v>NOD</v>
      </c>
      <c r="I56" s="11" t="str">
        <f>VLOOKUP(Table2[[#This Row],[شماره فني]],Sheet7!A:B,2,0)</f>
        <v>NBCM 207</v>
      </c>
      <c r="J56" s="11" t="s">
        <v>177</v>
      </c>
      <c r="K56" s="11" t="s">
        <v>251</v>
      </c>
      <c r="L56" s="11" t="s">
        <v>261</v>
      </c>
      <c r="M56" s="11" t="s">
        <v>261</v>
      </c>
      <c r="N56" s="11" t="s">
        <v>261</v>
      </c>
      <c r="O56" s="11" t="s">
        <v>261</v>
      </c>
      <c r="P56" s="11" t="s">
        <v>261</v>
      </c>
      <c r="Q56" s="11" t="s">
        <v>261</v>
      </c>
      <c r="R56" s="11" t="s">
        <v>961</v>
      </c>
      <c r="S56" s="11" t="s">
        <v>261</v>
      </c>
      <c r="T56" s="11" t="s">
        <v>261</v>
      </c>
      <c r="U56" s="11" t="s">
        <v>552</v>
      </c>
      <c r="V56" s="11" t="s">
        <v>784</v>
      </c>
      <c r="W56" s="11">
        <v>100</v>
      </c>
      <c r="X56" s="11" t="s">
        <v>19</v>
      </c>
      <c r="Y56" s="11" t="s">
        <v>261</v>
      </c>
      <c r="Z56" s="11" t="s">
        <v>261</v>
      </c>
      <c r="AA56" s="11" t="s">
        <v>261</v>
      </c>
      <c r="AB56" s="11" t="s">
        <v>583</v>
      </c>
      <c r="AC56" s="11" t="s">
        <v>261</v>
      </c>
      <c r="AD56" s="11" t="s">
        <v>261</v>
      </c>
      <c r="AE56" s="11" t="s">
        <v>551</v>
      </c>
      <c r="AF56" s="12" t="s">
        <v>261</v>
      </c>
      <c r="AG56" s="11" t="s">
        <v>261</v>
      </c>
    </row>
    <row r="57" spans="1:33" ht="30" hidden="1" x14ac:dyDescent="0.25">
      <c r="A57" s="11">
        <v>1</v>
      </c>
      <c r="B57" s="3" t="s">
        <v>261</v>
      </c>
      <c r="C57" s="11">
        <v>198376</v>
      </c>
      <c r="D57" s="11" t="s">
        <v>175</v>
      </c>
      <c r="E57" s="11" t="str">
        <f>MID(Table2[[#This Row],[تاريخ تاييد]],1,7)</f>
        <v>1403/04</v>
      </c>
      <c r="F57" s="11" t="str">
        <f>MID(Table2[[#This Row],[تاريخ تاييد]],6,2)</f>
        <v>04</v>
      </c>
      <c r="G57" s="11" t="s">
        <v>618</v>
      </c>
      <c r="H57" s="11" t="str">
        <f>VLOOKUP(Table2[[#This Row],[شماره فني]],Sheet7!A:C,3,0)</f>
        <v>NOD</v>
      </c>
      <c r="I57" s="11" t="str">
        <f>VLOOKUP(Table2[[#This Row],[شماره فني]],Sheet7!A:B,2,0)</f>
        <v>NBCM 207</v>
      </c>
      <c r="J57" s="11" t="s">
        <v>178</v>
      </c>
      <c r="K57" s="11" t="s">
        <v>725</v>
      </c>
      <c r="L57" s="11" t="s">
        <v>261</v>
      </c>
      <c r="M57" s="11" t="s">
        <v>261</v>
      </c>
      <c r="N57" s="11" t="s">
        <v>261</v>
      </c>
      <c r="O57" s="11" t="s">
        <v>261</v>
      </c>
      <c r="P57" s="11" t="s">
        <v>261</v>
      </c>
      <c r="Q57" s="11" t="s">
        <v>261</v>
      </c>
      <c r="R57" s="11" t="s">
        <v>261</v>
      </c>
      <c r="S57" s="11" t="s">
        <v>261</v>
      </c>
      <c r="T57" s="11" t="s">
        <v>985</v>
      </c>
      <c r="U57" s="11" t="s">
        <v>738</v>
      </c>
      <c r="V57" s="11" t="s">
        <v>737</v>
      </c>
      <c r="W57" s="11">
        <v>5</v>
      </c>
      <c r="X57" s="11" t="s">
        <v>19</v>
      </c>
      <c r="Y57" s="11" t="s">
        <v>261</v>
      </c>
      <c r="Z57" s="11" t="s">
        <v>261</v>
      </c>
      <c r="AA57" s="11" t="s">
        <v>261</v>
      </c>
      <c r="AB57" s="11" t="s">
        <v>27</v>
      </c>
      <c r="AC57" s="11" t="s">
        <v>988</v>
      </c>
      <c r="AD57" s="11" t="s">
        <v>261</v>
      </c>
      <c r="AE57" s="11" t="s">
        <v>551</v>
      </c>
      <c r="AF57" s="12" t="s">
        <v>261</v>
      </c>
      <c r="AG57" s="11" t="s">
        <v>261</v>
      </c>
    </row>
    <row r="58" spans="1:33" ht="45" hidden="1" x14ac:dyDescent="0.25">
      <c r="A58" s="11">
        <v>1</v>
      </c>
      <c r="B58" s="3" t="s">
        <v>261</v>
      </c>
      <c r="C58" s="11">
        <v>198574</v>
      </c>
      <c r="D58" s="11" t="s">
        <v>185</v>
      </c>
      <c r="E58" s="11" t="str">
        <f>MID(Table2[[#This Row],[تاريخ تاييد]],1,7)</f>
        <v>1403/04</v>
      </c>
      <c r="F58" s="11" t="str">
        <f>MID(Table2[[#This Row],[تاريخ تاييد]],6,2)</f>
        <v>04</v>
      </c>
      <c r="G58" s="11" t="s">
        <v>618</v>
      </c>
      <c r="H58" s="11" t="str">
        <f>VLOOKUP(Table2[[#This Row],[شماره فني]],Sheet7!A:C,3,0)</f>
        <v>کلید شیشه بالابر</v>
      </c>
      <c r="I58" s="11" t="str">
        <f>VLOOKUP(Table2[[#This Row],[شماره فني]],Sheet7!A:B,2,0)</f>
        <v>کلید شیشه بالابر جلو راست سورن</v>
      </c>
      <c r="J58" s="11" t="s">
        <v>186</v>
      </c>
      <c r="K58" s="11" t="s">
        <v>723</v>
      </c>
      <c r="L58" s="11" t="s">
        <v>261</v>
      </c>
      <c r="M58" s="11" t="s">
        <v>261</v>
      </c>
      <c r="N58" s="11" t="s">
        <v>261</v>
      </c>
      <c r="O58" s="11" t="s">
        <v>261</v>
      </c>
      <c r="P58" s="11" t="s">
        <v>261</v>
      </c>
      <c r="Q58" s="11" t="s">
        <v>261</v>
      </c>
      <c r="R58" s="11" t="s">
        <v>961</v>
      </c>
      <c r="S58" s="11" t="s">
        <v>261</v>
      </c>
      <c r="T58" s="11" t="s">
        <v>261</v>
      </c>
      <c r="U58" s="11" t="s">
        <v>552</v>
      </c>
      <c r="V58" s="11" t="s">
        <v>784</v>
      </c>
      <c r="W58" s="11">
        <v>10</v>
      </c>
      <c r="X58" s="11" t="s">
        <v>205</v>
      </c>
      <c r="Y58" s="11" t="s">
        <v>261</v>
      </c>
      <c r="Z58" s="11" t="s">
        <v>261</v>
      </c>
      <c r="AA58" s="11" t="s">
        <v>261</v>
      </c>
      <c r="AB58" s="11" t="s">
        <v>583</v>
      </c>
      <c r="AC58" s="11" t="s">
        <v>261</v>
      </c>
      <c r="AD58" s="11" t="s">
        <v>261</v>
      </c>
      <c r="AE58" s="11" t="s">
        <v>551</v>
      </c>
      <c r="AF58" s="12" t="s">
        <v>261</v>
      </c>
      <c r="AG58" s="11" t="s">
        <v>261</v>
      </c>
    </row>
    <row r="59" spans="1:33" ht="30" hidden="1" x14ac:dyDescent="0.25">
      <c r="A59" s="11">
        <v>1</v>
      </c>
      <c r="B59" s="3" t="s">
        <v>261</v>
      </c>
      <c r="C59" s="11">
        <v>198714</v>
      </c>
      <c r="D59" s="11" t="s">
        <v>187</v>
      </c>
      <c r="E59" s="11" t="str">
        <f>MID(Table2[[#This Row],[تاريخ تاييد]],1,7)</f>
        <v>1403/04</v>
      </c>
      <c r="F59" s="11" t="str">
        <f>MID(Table2[[#This Row],[تاريخ تاييد]],6,2)</f>
        <v>04</v>
      </c>
      <c r="G59" s="11" t="s">
        <v>618</v>
      </c>
      <c r="H59" s="11" t="str">
        <f>VLOOKUP(Table2[[#This Row],[شماره فني]],Sheet7!A:C,3,0)</f>
        <v>NOD</v>
      </c>
      <c r="I59" s="11" t="str">
        <f>VLOOKUP(Table2[[#This Row],[شماره فني]],Sheet7!A:B,2,0)</f>
        <v>NBCM TARA SAL</v>
      </c>
      <c r="J59" s="11" t="s">
        <v>188</v>
      </c>
      <c r="K59" s="11" t="s">
        <v>334</v>
      </c>
      <c r="L59" s="11" t="s">
        <v>22</v>
      </c>
      <c r="M59" s="11" t="s">
        <v>213</v>
      </c>
      <c r="N59" s="11" t="s">
        <v>261</v>
      </c>
      <c r="O59" s="11" t="s">
        <v>261</v>
      </c>
      <c r="P59" s="11" t="s">
        <v>261</v>
      </c>
      <c r="Q59" s="11" t="s">
        <v>261</v>
      </c>
      <c r="R59" s="11" t="s">
        <v>225</v>
      </c>
      <c r="S59" s="11" t="s">
        <v>798</v>
      </c>
      <c r="T59" s="11" t="s">
        <v>799</v>
      </c>
      <c r="U59" s="11" t="s">
        <v>1178</v>
      </c>
      <c r="V59" s="11" t="s">
        <v>563</v>
      </c>
      <c r="W59" s="11">
        <v>1</v>
      </c>
      <c r="X59" s="11" t="s">
        <v>95</v>
      </c>
      <c r="Y59" s="11" t="s">
        <v>210</v>
      </c>
      <c r="Z59" s="11" t="s">
        <v>211</v>
      </c>
      <c r="AA59" s="11" t="s">
        <v>66</v>
      </c>
      <c r="AB59" s="11" t="s">
        <v>27</v>
      </c>
      <c r="AC59" s="11" t="s">
        <v>987</v>
      </c>
      <c r="AD59" s="11" t="s">
        <v>261</v>
      </c>
      <c r="AE59" s="11" t="s">
        <v>551</v>
      </c>
      <c r="AF59" s="12" t="s">
        <v>261</v>
      </c>
      <c r="AG59" s="11" t="s">
        <v>261</v>
      </c>
    </row>
    <row r="60" spans="1:33" ht="30" hidden="1" x14ac:dyDescent="0.25">
      <c r="A60" s="11">
        <v>1</v>
      </c>
      <c r="B60" s="3" t="s">
        <v>261</v>
      </c>
      <c r="C60" s="11">
        <v>198879</v>
      </c>
      <c r="D60" s="11" t="s">
        <v>189</v>
      </c>
      <c r="E60" s="11" t="str">
        <f>MID(Table2[[#This Row],[تاريخ تاييد]],1,7)</f>
        <v>1403/04</v>
      </c>
      <c r="F60" s="11" t="str">
        <f>MID(Table2[[#This Row],[تاريخ تاييد]],6,2)</f>
        <v>04</v>
      </c>
      <c r="G60" s="11" t="s">
        <v>618</v>
      </c>
      <c r="H60" s="11" t="str">
        <f>VLOOKUP(Table2[[#This Row],[شماره فني]],Sheet7!A:C,3,0)</f>
        <v>جلو آمپر</v>
      </c>
      <c r="I60" s="11" t="str">
        <f>VLOOKUP(Table2[[#This Row],[شماره فني]],Sheet7!A:B,2,0)</f>
        <v>جلو آمپر تارا دستی</v>
      </c>
      <c r="J60" s="11" t="s">
        <v>190</v>
      </c>
      <c r="K60" s="11" t="s">
        <v>233</v>
      </c>
      <c r="L60" s="11" t="s">
        <v>22</v>
      </c>
      <c r="M60" s="11" t="s">
        <v>222</v>
      </c>
      <c r="N60" s="11" t="s">
        <v>261</v>
      </c>
      <c r="O60" s="11" t="s">
        <v>261</v>
      </c>
      <c r="P60" s="11" t="s">
        <v>261</v>
      </c>
      <c r="Q60" s="11" t="s">
        <v>261</v>
      </c>
      <c r="R60" s="11" t="s">
        <v>224</v>
      </c>
      <c r="S60" s="11" t="s">
        <v>182</v>
      </c>
      <c r="T60" s="11" t="s">
        <v>803</v>
      </c>
      <c r="U60" s="11" t="s">
        <v>797</v>
      </c>
      <c r="V60" s="11" t="s">
        <v>561</v>
      </c>
      <c r="W60" s="11">
        <v>1</v>
      </c>
      <c r="X60" s="11" t="s">
        <v>97</v>
      </c>
      <c r="Y60" s="11" t="s">
        <v>223</v>
      </c>
      <c r="Z60" s="11" t="s">
        <v>222</v>
      </c>
      <c r="AA60" s="11" t="s">
        <v>66</v>
      </c>
      <c r="AB60" s="11" t="s">
        <v>28</v>
      </c>
      <c r="AC60" s="11" t="s">
        <v>261</v>
      </c>
      <c r="AD60" s="11" t="s">
        <v>261</v>
      </c>
      <c r="AE60" s="11" t="s">
        <v>551</v>
      </c>
      <c r="AF60" s="12" t="s">
        <v>261</v>
      </c>
      <c r="AG60" s="11" t="s">
        <v>261</v>
      </c>
    </row>
    <row r="61" spans="1:33" ht="30" hidden="1" x14ac:dyDescent="0.25">
      <c r="A61" s="11">
        <v>1</v>
      </c>
      <c r="B61" s="3" t="s">
        <v>261</v>
      </c>
      <c r="C61" s="11">
        <v>199020</v>
      </c>
      <c r="D61" s="11" t="s">
        <v>191</v>
      </c>
      <c r="E61" s="11" t="str">
        <f>MID(Table2[[#This Row],[تاريخ تاييد]],1,7)</f>
        <v>1403/04</v>
      </c>
      <c r="F61" s="11" t="str">
        <f>MID(Table2[[#This Row],[تاريخ تاييد]],6,2)</f>
        <v>04</v>
      </c>
      <c r="G61" s="11" t="s">
        <v>618</v>
      </c>
      <c r="H61" s="11" t="str">
        <f>VLOOKUP(Table2[[#This Row],[شماره فني]],Sheet7!A:C,3,0)</f>
        <v>کلید شیشه بالابر</v>
      </c>
      <c r="I61" s="11" t="str">
        <f>VLOOKUP(Table2[[#This Row],[شماره فني]],Sheet7!A:B,2,0)</f>
        <v>کلید شیشه بالابر جلو راست سورن</v>
      </c>
      <c r="J61" s="11" t="s">
        <v>192</v>
      </c>
      <c r="K61" s="11" t="s">
        <v>723</v>
      </c>
      <c r="L61" s="11" t="s">
        <v>261</v>
      </c>
      <c r="M61" s="11" t="s">
        <v>261</v>
      </c>
      <c r="N61" s="11" t="s">
        <v>261</v>
      </c>
      <c r="O61" s="11" t="s">
        <v>261</v>
      </c>
      <c r="P61" s="11" t="s">
        <v>261</v>
      </c>
      <c r="Q61" s="11" t="s">
        <v>261</v>
      </c>
      <c r="R61" s="11" t="s">
        <v>261</v>
      </c>
      <c r="S61" s="11" t="s">
        <v>740</v>
      </c>
      <c r="T61" s="11" t="s">
        <v>825</v>
      </c>
      <c r="U61" s="11" t="s">
        <v>827</v>
      </c>
      <c r="V61" s="11" t="s">
        <v>741</v>
      </c>
      <c r="W61" s="11">
        <v>3</v>
      </c>
      <c r="X61" s="11" t="s">
        <v>205</v>
      </c>
      <c r="Y61" s="11" t="s">
        <v>261</v>
      </c>
      <c r="Z61" s="11" t="s">
        <v>261</v>
      </c>
      <c r="AA61" s="11" t="s">
        <v>261</v>
      </c>
      <c r="AB61" s="11" t="s">
        <v>28</v>
      </c>
      <c r="AC61" s="11" t="s">
        <v>261</v>
      </c>
      <c r="AD61" s="11" t="s">
        <v>261</v>
      </c>
      <c r="AE61" s="11" t="s">
        <v>551</v>
      </c>
      <c r="AF61" s="12" t="s">
        <v>261</v>
      </c>
      <c r="AG61" s="11" t="s">
        <v>261</v>
      </c>
    </row>
    <row r="62" spans="1:33" ht="30" hidden="1" x14ac:dyDescent="0.25">
      <c r="A62" s="11">
        <v>1</v>
      </c>
      <c r="B62" s="3" t="s">
        <v>261</v>
      </c>
      <c r="C62" s="11">
        <v>199251</v>
      </c>
      <c r="D62" s="11" t="s">
        <v>193</v>
      </c>
      <c r="E62" s="11" t="str">
        <f>MID(Table2[[#This Row],[تاريخ تاييد]],1,7)</f>
        <v>1403/04</v>
      </c>
      <c r="F62" s="11" t="str">
        <f>MID(Table2[[#This Row],[تاريخ تاييد]],6,2)</f>
        <v>04</v>
      </c>
      <c r="G62" s="11" t="s">
        <v>618</v>
      </c>
      <c r="H62" s="11" t="str">
        <f>VLOOKUP(Table2[[#This Row],[شماره فني]],Sheet7!A:C,3,0)</f>
        <v>جلو آمپر</v>
      </c>
      <c r="I62" s="11" t="str">
        <f>VLOOKUP(Table2[[#This Row],[شماره فني]],Sheet7!A:B,2,0)</f>
        <v>جلو آمپر دنا اتوماتیک</v>
      </c>
      <c r="J62" s="11" t="s">
        <v>194</v>
      </c>
      <c r="K62" s="11" t="s">
        <v>334</v>
      </c>
      <c r="L62" s="11" t="s">
        <v>22</v>
      </c>
      <c r="M62" s="11" t="s">
        <v>213</v>
      </c>
      <c r="N62" s="11" t="s">
        <v>261</v>
      </c>
      <c r="O62" s="11" t="s">
        <v>261</v>
      </c>
      <c r="P62" s="11" t="s">
        <v>261</v>
      </c>
      <c r="Q62" s="11" t="s">
        <v>261</v>
      </c>
      <c r="R62" s="11" t="s">
        <v>220</v>
      </c>
      <c r="S62" s="11" t="s">
        <v>260</v>
      </c>
      <c r="T62" s="11" t="s">
        <v>808</v>
      </c>
      <c r="U62" s="11" t="s">
        <v>809</v>
      </c>
      <c r="V62" s="11" t="s">
        <v>564</v>
      </c>
      <c r="W62" s="11">
        <v>1</v>
      </c>
      <c r="X62" s="11" t="s">
        <v>21</v>
      </c>
      <c r="Y62" s="11" t="s">
        <v>217</v>
      </c>
      <c r="Z62" s="11" t="s">
        <v>212</v>
      </c>
      <c r="AA62" s="11" t="s">
        <v>66</v>
      </c>
      <c r="AB62" s="11" t="s">
        <v>29</v>
      </c>
      <c r="AC62" s="11" t="s">
        <v>261</v>
      </c>
      <c r="AD62" s="11" t="s">
        <v>227</v>
      </c>
      <c r="AE62" s="11" t="s">
        <v>551</v>
      </c>
      <c r="AF62" s="12" t="s">
        <v>261</v>
      </c>
      <c r="AG62" s="11" t="s">
        <v>261</v>
      </c>
    </row>
    <row r="63" spans="1:33" ht="45" hidden="1" x14ac:dyDescent="0.25">
      <c r="A63" s="11">
        <v>1</v>
      </c>
      <c r="B63" s="3" t="s">
        <v>261</v>
      </c>
      <c r="C63" s="11">
        <v>199254</v>
      </c>
      <c r="D63" s="11" t="s">
        <v>193</v>
      </c>
      <c r="E63" s="11" t="str">
        <f>MID(Table2[[#This Row],[تاريخ تاييد]],1,7)</f>
        <v>1403/04</v>
      </c>
      <c r="F63" s="11" t="str">
        <f>MID(Table2[[#This Row],[تاريخ تاييد]],6,2)</f>
        <v>04</v>
      </c>
      <c r="G63" s="11" t="s">
        <v>618</v>
      </c>
      <c r="H63" s="11" t="str">
        <f>VLOOKUP(Table2[[#This Row],[شماره فني]],Sheet7!A:C,3,0)</f>
        <v>NOD</v>
      </c>
      <c r="I63" s="11" t="str">
        <f>VLOOKUP(Table2[[#This Row],[شماره فني]],Sheet7!A:B,2,0)</f>
        <v>NBCM 207</v>
      </c>
      <c r="J63" s="11" t="s">
        <v>195</v>
      </c>
      <c r="K63" s="11" t="s">
        <v>251</v>
      </c>
      <c r="L63" s="11" t="s">
        <v>261</v>
      </c>
      <c r="M63" s="11" t="s">
        <v>261</v>
      </c>
      <c r="N63" s="11" t="s">
        <v>261</v>
      </c>
      <c r="O63" s="11" t="s">
        <v>261</v>
      </c>
      <c r="P63" s="11" t="s">
        <v>261</v>
      </c>
      <c r="Q63" s="11" t="s">
        <v>261</v>
      </c>
      <c r="R63" s="11" t="s">
        <v>961</v>
      </c>
      <c r="S63" s="11" t="s">
        <v>261</v>
      </c>
      <c r="T63" s="11" t="s">
        <v>261</v>
      </c>
      <c r="U63" s="11" t="s">
        <v>552</v>
      </c>
      <c r="V63" s="11" t="s">
        <v>784</v>
      </c>
      <c r="W63" s="11">
        <v>16</v>
      </c>
      <c r="X63" s="11" t="s">
        <v>19</v>
      </c>
      <c r="Y63" s="11" t="s">
        <v>261</v>
      </c>
      <c r="Z63" s="11" t="s">
        <v>261</v>
      </c>
      <c r="AA63" s="11" t="s">
        <v>261</v>
      </c>
      <c r="AB63" s="11" t="s">
        <v>583</v>
      </c>
      <c r="AC63" s="11" t="s">
        <v>261</v>
      </c>
      <c r="AD63" s="11" t="s">
        <v>261</v>
      </c>
      <c r="AE63" s="11" t="s">
        <v>551</v>
      </c>
      <c r="AF63" s="12" t="s">
        <v>261</v>
      </c>
      <c r="AG63" s="11" t="s">
        <v>261</v>
      </c>
    </row>
    <row r="64" spans="1:33" ht="45" hidden="1" x14ac:dyDescent="0.25">
      <c r="A64" s="11">
        <v>1</v>
      </c>
      <c r="B64" s="3" t="s">
        <v>261</v>
      </c>
      <c r="C64" s="11">
        <v>199255</v>
      </c>
      <c r="D64" s="11" t="s">
        <v>193</v>
      </c>
      <c r="E64" s="11" t="str">
        <f>MID(Table2[[#This Row],[تاريخ تاييد]],1,7)</f>
        <v>1403/04</v>
      </c>
      <c r="F64" s="11" t="str">
        <f>MID(Table2[[#This Row],[تاريخ تاييد]],6,2)</f>
        <v>04</v>
      </c>
      <c r="G64" s="11" t="s">
        <v>618</v>
      </c>
      <c r="H64" s="11" t="str">
        <f>VLOOKUP(Table2[[#This Row],[شماره فني]],Sheet7!A:C,3,0)</f>
        <v>جلو آمپر</v>
      </c>
      <c r="I64" s="11" t="str">
        <f>VLOOKUP(Table2[[#This Row],[شماره فني]],Sheet7!A:B,2,0)</f>
        <v>جلو آمپر دنا اتوماتیک</v>
      </c>
      <c r="J64" s="11" t="s">
        <v>196</v>
      </c>
      <c r="K64" s="11" t="s">
        <v>520</v>
      </c>
      <c r="L64" s="11" t="s">
        <v>261</v>
      </c>
      <c r="M64" s="11" t="s">
        <v>261</v>
      </c>
      <c r="N64" s="11" t="s">
        <v>261</v>
      </c>
      <c r="O64" s="11" t="s">
        <v>261</v>
      </c>
      <c r="P64" s="11" t="s">
        <v>261</v>
      </c>
      <c r="Q64" s="11" t="s">
        <v>261</v>
      </c>
      <c r="R64" s="11" t="s">
        <v>961</v>
      </c>
      <c r="S64" s="11" t="s">
        <v>261</v>
      </c>
      <c r="T64" s="11" t="s">
        <v>261</v>
      </c>
      <c r="U64" s="11" t="s">
        <v>552</v>
      </c>
      <c r="V64" s="11" t="s">
        <v>784</v>
      </c>
      <c r="W64" s="11">
        <v>1</v>
      </c>
      <c r="X64" s="11" t="s">
        <v>21</v>
      </c>
      <c r="Y64" s="11" t="s">
        <v>261</v>
      </c>
      <c r="Z64" s="11" t="s">
        <v>261</v>
      </c>
      <c r="AA64" s="11" t="s">
        <v>261</v>
      </c>
      <c r="AB64" s="11" t="s">
        <v>583</v>
      </c>
      <c r="AC64" s="11" t="s">
        <v>261</v>
      </c>
      <c r="AD64" s="11" t="s">
        <v>261</v>
      </c>
      <c r="AE64" s="11" t="s">
        <v>551</v>
      </c>
      <c r="AF64" s="12" t="s">
        <v>261</v>
      </c>
      <c r="AG64" s="11" t="s">
        <v>261</v>
      </c>
    </row>
    <row r="65" spans="1:33" ht="45" hidden="1" x14ac:dyDescent="0.25">
      <c r="A65" s="11">
        <v>1</v>
      </c>
      <c r="B65" s="3" t="s">
        <v>261</v>
      </c>
      <c r="C65" s="11">
        <v>199258</v>
      </c>
      <c r="D65" s="11" t="s">
        <v>193</v>
      </c>
      <c r="E65" s="11" t="str">
        <f>MID(Table2[[#This Row],[تاريخ تاييد]],1,7)</f>
        <v>1403/04</v>
      </c>
      <c r="F65" s="11" t="str">
        <f>MID(Table2[[#This Row],[تاريخ تاييد]],6,2)</f>
        <v>04</v>
      </c>
      <c r="G65" s="11" t="s">
        <v>618</v>
      </c>
      <c r="H65" s="11" t="str">
        <f>VLOOKUP(Table2[[#This Row],[شماره فني]],Sheet7!A:C,3,0)</f>
        <v>جلو آمپر</v>
      </c>
      <c r="I65" s="11" t="str">
        <f>VLOOKUP(Table2[[#This Row],[شماره فني]],Sheet7!A:B,2,0)</f>
        <v>جلو آمپر207  معمولی85 گانه</v>
      </c>
      <c r="J65" s="11" t="s">
        <v>197</v>
      </c>
      <c r="K65" s="11" t="s">
        <v>724</v>
      </c>
      <c r="L65" s="11" t="s">
        <v>261</v>
      </c>
      <c r="M65" s="11" t="s">
        <v>261</v>
      </c>
      <c r="N65" s="11" t="s">
        <v>261</v>
      </c>
      <c r="O65" s="11" t="s">
        <v>261</v>
      </c>
      <c r="P65" s="11" t="s">
        <v>261</v>
      </c>
      <c r="Q65" s="11" t="s">
        <v>261</v>
      </c>
      <c r="R65" s="11" t="s">
        <v>961</v>
      </c>
      <c r="S65" s="11" t="s">
        <v>261</v>
      </c>
      <c r="T65" s="11" t="s">
        <v>261</v>
      </c>
      <c r="U65" s="11" t="s">
        <v>552</v>
      </c>
      <c r="V65" s="11" t="s">
        <v>784</v>
      </c>
      <c r="W65" s="11">
        <v>1</v>
      </c>
      <c r="X65" s="11" t="s">
        <v>30</v>
      </c>
      <c r="Y65" s="11" t="s">
        <v>261</v>
      </c>
      <c r="Z65" s="11" t="s">
        <v>261</v>
      </c>
      <c r="AA65" s="11" t="s">
        <v>261</v>
      </c>
      <c r="AB65" s="11" t="s">
        <v>583</v>
      </c>
      <c r="AC65" s="11" t="s">
        <v>261</v>
      </c>
      <c r="AD65" s="11" t="s">
        <v>261</v>
      </c>
      <c r="AE65" s="11" t="s">
        <v>551</v>
      </c>
      <c r="AF65" s="12" t="s">
        <v>261</v>
      </c>
      <c r="AG65" s="11" t="s">
        <v>261</v>
      </c>
    </row>
    <row r="66" spans="1:33" ht="45" hidden="1" x14ac:dyDescent="0.25">
      <c r="A66" s="11">
        <v>1</v>
      </c>
      <c r="B66" s="3" t="s">
        <v>261</v>
      </c>
      <c r="C66" s="11">
        <v>199274</v>
      </c>
      <c r="D66" s="11" t="s">
        <v>193</v>
      </c>
      <c r="E66" s="11" t="str">
        <f>MID(Table2[[#This Row],[تاريخ تاييد]],1,7)</f>
        <v>1403/04</v>
      </c>
      <c r="F66" s="11" t="str">
        <f>MID(Table2[[#This Row],[تاريخ تاييد]],6,2)</f>
        <v>04</v>
      </c>
      <c r="G66" s="11" t="s">
        <v>618</v>
      </c>
      <c r="H66" s="11" t="str">
        <f>VLOOKUP(Table2[[#This Row],[شماره فني]],Sheet7!A:C,3,0)</f>
        <v>MFD</v>
      </c>
      <c r="I66" s="11" t="str">
        <f>VLOOKUP(Table2[[#This Row],[شماره فني]],Sheet7!A:B,2,0)</f>
        <v>MFD RUNNA</v>
      </c>
      <c r="J66" s="11" t="s">
        <v>198</v>
      </c>
      <c r="K66" s="11" t="s">
        <v>231</v>
      </c>
      <c r="L66" s="11" t="s">
        <v>261</v>
      </c>
      <c r="M66" s="11" t="s">
        <v>261</v>
      </c>
      <c r="N66" s="11" t="s">
        <v>261</v>
      </c>
      <c r="O66" s="11" t="s">
        <v>261</v>
      </c>
      <c r="P66" s="11" t="s">
        <v>261</v>
      </c>
      <c r="Q66" s="11" t="s">
        <v>261</v>
      </c>
      <c r="R66" s="11" t="s">
        <v>961</v>
      </c>
      <c r="S66" s="11" t="s">
        <v>261</v>
      </c>
      <c r="T66" s="11" t="s">
        <v>261</v>
      </c>
      <c r="U66" s="11" t="s">
        <v>552</v>
      </c>
      <c r="V66" s="11" t="s">
        <v>784</v>
      </c>
      <c r="W66" s="11">
        <v>1</v>
      </c>
      <c r="X66" s="11" t="s">
        <v>121</v>
      </c>
      <c r="Y66" s="11" t="s">
        <v>261</v>
      </c>
      <c r="Z66" s="11" t="s">
        <v>261</v>
      </c>
      <c r="AA66" s="11" t="s">
        <v>261</v>
      </c>
      <c r="AB66" s="11" t="s">
        <v>583</v>
      </c>
      <c r="AC66" s="11" t="s">
        <v>261</v>
      </c>
      <c r="AD66" s="11" t="s">
        <v>261</v>
      </c>
      <c r="AE66" s="11" t="s">
        <v>551</v>
      </c>
      <c r="AF66" s="12" t="s">
        <v>261</v>
      </c>
      <c r="AG66" s="11" t="s">
        <v>261</v>
      </c>
    </row>
    <row r="67" spans="1:33" ht="30" hidden="1" x14ac:dyDescent="0.25">
      <c r="A67" s="11">
        <v>1</v>
      </c>
      <c r="B67" s="3" t="s">
        <v>261</v>
      </c>
      <c r="C67" s="11">
        <v>199319</v>
      </c>
      <c r="D67" s="11" t="s">
        <v>199</v>
      </c>
      <c r="E67" s="11" t="str">
        <f>MID(Table2[[#This Row],[تاريخ تاييد]],1,7)</f>
        <v>1403/05</v>
      </c>
      <c r="F67" s="11" t="str">
        <f>MID(Table2[[#This Row],[تاريخ تاييد]],6,2)</f>
        <v>05</v>
      </c>
      <c r="G67" s="11" t="s">
        <v>618</v>
      </c>
      <c r="H67" s="11" t="str">
        <f>VLOOKUP(Table2[[#This Row],[شماره فني]],Sheet7!A:C,3,0)</f>
        <v>جلو آمپر</v>
      </c>
      <c r="I67" s="11" t="str">
        <f>VLOOKUP(Table2[[#This Row],[شماره فني]],Sheet7!A:B,2,0)</f>
        <v>جلو آمپر تارا اتوماتیک</v>
      </c>
      <c r="J67" s="11" t="s">
        <v>200</v>
      </c>
      <c r="K67" s="11" t="s">
        <v>231</v>
      </c>
      <c r="L67" s="11" t="s">
        <v>22</v>
      </c>
      <c r="M67" s="11" t="s">
        <v>213</v>
      </c>
      <c r="N67" s="11" t="s">
        <v>261</v>
      </c>
      <c r="O67" s="11" t="s">
        <v>261</v>
      </c>
      <c r="P67" s="11" t="s">
        <v>261</v>
      </c>
      <c r="Q67" s="11" t="s">
        <v>261</v>
      </c>
      <c r="R67" s="11" t="s">
        <v>228</v>
      </c>
      <c r="S67" s="11" t="s">
        <v>261</v>
      </c>
      <c r="T67" s="11" t="s">
        <v>231</v>
      </c>
      <c r="U67" s="11" t="s">
        <v>797</v>
      </c>
      <c r="V67" s="11" t="s">
        <v>561</v>
      </c>
      <c r="W67" s="11">
        <v>1</v>
      </c>
      <c r="X67" s="11" t="s">
        <v>20</v>
      </c>
      <c r="Y67" s="11" t="s">
        <v>221</v>
      </c>
      <c r="Z67" s="11" t="s">
        <v>212</v>
      </c>
      <c r="AA67" s="11" t="s">
        <v>66</v>
      </c>
      <c r="AB67" s="11" t="s">
        <v>28</v>
      </c>
      <c r="AC67" s="11" t="s">
        <v>261</v>
      </c>
      <c r="AD67" s="11" t="s">
        <v>261</v>
      </c>
      <c r="AE67" s="11" t="s">
        <v>551</v>
      </c>
      <c r="AF67" s="12" t="s">
        <v>261</v>
      </c>
      <c r="AG67" s="11" t="s">
        <v>261</v>
      </c>
    </row>
    <row r="68" spans="1:33" ht="45" hidden="1" x14ac:dyDescent="0.25">
      <c r="A68" s="11">
        <v>1</v>
      </c>
      <c r="B68" s="3" t="s">
        <v>261</v>
      </c>
      <c r="C68" s="11">
        <v>199378</v>
      </c>
      <c r="D68" s="11" t="s">
        <v>201</v>
      </c>
      <c r="E68" s="11" t="str">
        <f>MID(Table2[[#This Row],[تاريخ تاييد]],1,7)</f>
        <v>1403/05</v>
      </c>
      <c r="F68" s="11" t="str">
        <f>MID(Table2[[#This Row],[تاريخ تاييد]],6,2)</f>
        <v>05</v>
      </c>
      <c r="G68" s="11" t="s">
        <v>618</v>
      </c>
      <c r="H68" s="11" t="str">
        <f>VLOOKUP(Table2[[#This Row],[شماره فني]],Sheet7!A:C,3,0)</f>
        <v>NOD</v>
      </c>
      <c r="I68" s="11" t="str">
        <f>VLOOKUP(Table2[[#This Row],[شماره فني]],Sheet7!A:B,2,0)</f>
        <v>NBCM DENA</v>
      </c>
      <c r="J68" s="11" t="s">
        <v>202</v>
      </c>
      <c r="K68" s="11" t="s">
        <v>334</v>
      </c>
      <c r="L68" s="11" t="s">
        <v>261</v>
      </c>
      <c r="M68" s="11" t="s">
        <v>261</v>
      </c>
      <c r="N68" s="11" t="s">
        <v>261</v>
      </c>
      <c r="O68" s="11" t="s">
        <v>261</v>
      </c>
      <c r="P68" s="11" t="s">
        <v>261</v>
      </c>
      <c r="Q68" s="11" t="s">
        <v>261</v>
      </c>
      <c r="R68" s="11" t="s">
        <v>961</v>
      </c>
      <c r="S68" s="11" t="s">
        <v>261</v>
      </c>
      <c r="T68" s="11" t="s">
        <v>261</v>
      </c>
      <c r="U68" s="11" t="s">
        <v>552</v>
      </c>
      <c r="V68" s="11" t="s">
        <v>784</v>
      </c>
      <c r="W68" s="11">
        <v>1</v>
      </c>
      <c r="X68" s="11" t="s">
        <v>16</v>
      </c>
      <c r="Y68" s="11" t="s">
        <v>261</v>
      </c>
      <c r="Z68" s="11" t="s">
        <v>261</v>
      </c>
      <c r="AA68" s="11" t="s">
        <v>261</v>
      </c>
      <c r="AB68" s="11" t="s">
        <v>583</v>
      </c>
      <c r="AC68" s="11" t="s">
        <v>261</v>
      </c>
      <c r="AD68" s="11" t="s">
        <v>261</v>
      </c>
      <c r="AE68" s="11" t="s">
        <v>551</v>
      </c>
      <c r="AF68" s="12" t="s">
        <v>261</v>
      </c>
      <c r="AG68" s="11" t="s">
        <v>261</v>
      </c>
    </row>
    <row r="69" spans="1:33" ht="45" hidden="1" x14ac:dyDescent="0.25">
      <c r="A69" s="11">
        <v>1</v>
      </c>
      <c r="B69" s="3" t="s">
        <v>261</v>
      </c>
      <c r="C69" s="11">
        <v>199643</v>
      </c>
      <c r="D69" s="11" t="s">
        <v>203</v>
      </c>
      <c r="E69" s="11" t="str">
        <f>MID(Table2[[#This Row],[تاريخ تاييد]],1,7)</f>
        <v>1403/05</v>
      </c>
      <c r="F69" s="11" t="str">
        <f>MID(Table2[[#This Row],[تاريخ تاييد]],6,2)</f>
        <v>05</v>
      </c>
      <c r="G69" s="11" t="s">
        <v>618</v>
      </c>
      <c r="H69" s="11" t="str">
        <f>VLOOKUP(Table2[[#This Row],[شماره فني]],Sheet7!A:C,3,0)</f>
        <v>جلو آمپر</v>
      </c>
      <c r="I69" s="11" t="str">
        <f>VLOOKUP(Table2[[#This Row],[شماره فني]],Sheet7!A:B,2,0)</f>
        <v>جلو آمپرSOREN TC 85 گانه</v>
      </c>
      <c r="J69" s="11" t="s">
        <v>204</v>
      </c>
      <c r="K69" s="11" t="s">
        <v>724</v>
      </c>
      <c r="L69" s="11" t="s">
        <v>261</v>
      </c>
      <c r="M69" s="11" t="s">
        <v>261</v>
      </c>
      <c r="N69" s="11" t="s">
        <v>261</v>
      </c>
      <c r="O69" s="11" t="s">
        <v>261</v>
      </c>
      <c r="P69" s="11" t="s">
        <v>261</v>
      </c>
      <c r="Q69" s="11" t="s">
        <v>261</v>
      </c>
      <c r="R69" s="11" t="s">
        <v>961</v>
      </c>
      <c r="S69" s="11" t="s">
        <v>261</v>
      </c>
      <c r="T69" s="11" t="s">
        <v>261</v>
      </c>
      <c r="U69" s="11" t="s">
        <v>552</v>
      </c>
      <c r="V69" s="11" t="s">
        <v>784</v>
      </c>
      <c r="W69" s="11">
        <v>5</v>
      </c>
      <c r="X69" s="11" t="s">
        <v>32</v>
      </c>
      <c r="Y69" s="11" t="s">
        <v>261</v>
      </c>
      <c r="Z69" s="11" t="s">
        <v>261</v>
      </c>
      <c r="AA69" s="11" t="s">
        <v>261</v>
      </c>
      <c r="AB69" s="11" t="s">
        <v>583</v>
      </c>
      <c r="AC69" s="11" t="s">
        <v>261</v>
      </c>
      <c r="AD69" s="11" t="s">
        <v>261</v>
      </c>
      <c r="AE69" s="11" t="s">
        <v>551</v>
      </c>
      <c r="AF69" s="12" t="s">
        <v>261</v>
      </c>
      <c r="AG69" s="11" t="s">
        <v>261</v>
      </c>
    </row>
    <row r="70" spans="1:33" ht="30" hidden="1" x14ac:dyDescent="0.25">
      <c r="A70" s="11">
        <v>1</v>
      </c>
      <c r="B70" s="3" t="s">
        <v>261</v>
      </c>
      <c r="C70" s="11">
        <v>199849</v>
      </c>
      <c r="D70" s="11" t="s">
        <v>206</v>
      </c>
      <c r="E70" s="11" t="str">
        <f>MID(Table2[[#This Row],[تاريخ تاييد]],1,7)</f>
        <v>1403/05</v>
      </c>
      <c r="F70" s="11" t="str">
        <f>MID(Table2[[#This Row],[تاريخ تاييد]],6,2)</f>
        <v>05</v>
      </c>
      <c r="G70" s="11" t="s">
        <v>618</v>
      </c>
      <c r="H70" s="11" t="str">
        <f>VLOOKUP(Table2[[#This Row],[شماره فني]],Sheet7!A:C,3,0)</f>
        <v>NOD</v>
      </c>
      <c r="I70" s="11" t="str">
        <f>VLOOKUP(Table2[[#This Row],[شماره فني]],Sheet7!A:B,2,0)</f>
        <v>NBCM SOREN</v>
      </c>
      <c r="J70" s="11" t="s">
        <v>207</v>
      </c>
      <c r="K70" s="11" t="s">
        <v>725</v>
      </c>
      <c r="L70" s="11" t="s">
        <v>261</v>
      </c>
      <c r="M70" s="11" t="s">
        <v>261</v>
      </c>
      <c r="N70" s="11" t="s">
        <v>261</v>
      </c>
      <c r="O70" s="11" t="s">
        <v>261</v>
      </c>
      <c r="P70" s="11" t="s">
        <v>261</v>
      </c>
      <c r="Q70" s="11" t="s">
        <v>261</v>
      </c>
      <c r="R70" s="11" t="s">
        <v>261</v>
      </c>
      <c r="S70" s="11" t="s">
        <v>261</v>
      </c>
      <c r="T70" s="11" t="s">
        <v>985</v>
      </c>
      <c r="U70" s="11" t="s">
        <v>738</v>
      </c>
      <c r="V70" s="11" t="s">
        <v>737</v>
      </c>
      <c r="W70" s="11">
        <v>5</v>
      </c>
      <c r="X70" s="11" t="s">
        <v>208</v>
      </c>
      <c r="Y70" s="11" t="s">
        <v>261</v>
      </c>
      <c r="Z70" s="11" t="s">
        <v>261</v>
      </c>
      <c r="AA70" s="11" t="s">
        <v>261</v>
      </c>
      <c r="AB70" s="11" t="s">
        <v>27</v>
      </c>
      <c r="AC70" s="11" t="s">
        <v>988</v>
      </c>
      <c r="AD70" s="11" t="s">
        <v>261</v>
      </c>
      <c r="AE70" s="11" t="s">
        <v>551</v>
      </c>
      <c r="AF70" s="12" t="s">
        <v>261</v>
      </c>
      <c r="AG70" s="11" t="s">
        <v>261</v>
      </c>
    </row>
    <row r="71" spans="1:33" ht="45" hidden="1" x14ac:dyDescent="0.25">
      <c r="A71" s="11">
        <v>1</v>
      </c>
      <c r="B71" s="3" t="s">
        <v>261</v>
      </c>
      <c r="C71" s="11">
        <v>199905</v>
      </c>
      <c r="D71" s="11" t="s">
        <v>236</v>
      </c>
      <c r="E71" s="11" t="str">
        <f>MID(Table2[[#This Row],[تاريخ تاييد]],1,7)</f>
        <v>1403/05</v>
      </c>
      <c r="F71" s="11" t="str">
        <f>MID(Table2[[#This Row],[تاريخ تاييد]],6,2)</f>
        <v>05</v>
      </c>
      <c r="G71" s="11" t="s">
        <v>618</v>
      </c>
      <c r="H71" s="11" t="str">
        <f>VLOOKUP(Table2[[#This Row],[شماره فني]],Sheet7!A:C,3,0)</f>
        <v>NOD</v>
      </c>
      <c r="I71" s="11" t="str">
        <f>VLOOKUP(Table2[[#This Row],[شماره فني]],Sheet7!A:B,2,0)</f>
        <v>NBCM SOREN</v>
      </c>
      <c r="J71" s="11" t="s">
        <v>237</v>
      </c>
      <c r="K71" s="11" t="s">
        <v>334</v>
      </c>
      <c r="L71" s="11" t="s">
        <v>261</v>
      </c>
      <c r="M71" s="11" t="s">
        <v>261</v>
      </c>
      <c r="N71" s="11" t="s">
        <v>261</v>
      </c>
      <c r="O71" s="11" t="s">
        <v>261</v>
      </c>
      <c r="P71" s="11" t="s">
        <v>261</v>
      </c>
      <c r="Q71" s="11" t="s">
        <v>261</v>
      </c>
      <c r="R71" s="11" t="s">
        <v>961</v>
      </c>
      <c r="S71" s="11" t="s">
        <v>261</v>
      </c>
      <c r="T71" s="11" t="s">
        <v>261</v>
      </c>
      <c r="U71" s="11" t="s">
        <v>552</v>
      </c>
      <c r="V71" s="11" t="s">
        <v>784</v>
      </c>
      <c r="W71" s="11">
        <v>1</v>
      </c>
      <c r="X71" s="11" t="s">
        <v>208</v>
      </c>
      <c r="Y71" s="11" t="s">
        <v>261</v>
      </c>
      <c r="Z71" s="11" t="s">
        <v>261</v>
      </c>
      <c r="AA71" s="11" t="s">
        <v>261</v>
      </c>
      <c r="AB71" s="11" t="s">
        <v>583</v>
      </c>
      <c r="AC71" s="11" t="s">
        <v>261</v>
      </c>
      <c r="AD71" s="11" t="s">
        <v>261</v>
      </c>
      <c r="AE71" s="11" t="s">
        <v>551</v>
      </c>
      <c r="AF71" s="12" t="s">
        <v>261</v>
      </c>
      <c r="AG71" s="11" t="s">
        <v>261</v>
      </c>
    </row>
    <row r="72" spans="1:33" ht="45" hidden="1" x14ac:dyDescent="0.25">
      <c r="A72" s="11">
        <v>1</v>
      </c>
      <c r="B72" s="3" t="s">
        <v>261</v>
      </c>
      <c r="C72" s="11">
        <v>200027</v>
      </c>
      <c r="D72" s="11" t="s">
        <v>238</v>
      </c>
      <c r="E72" s="11" t="str">
        <f>MID(Table2[[#This Row],[تاريخ تاييد]],1,7)</f>
        <v>1403/05</v>
      </c>
      <c r="F72" s="11" t="str">
        <f>MID(Table2[[#This Row],[تاريخ تاييد]],6,2)</f>
        <v>05</v>
      </c>
      <c r="G72" s="11" t="s">
        <v>618</v>
      </c>
      <c r="H72" s="11" t="str">
        <f>VLOOKUP(Table2[[#This Row],[شماره فني]],Sheet7!A:C,3,0)</f>
        <v>جلو آمپر</v>
      </c>
      <c r="I72" s="11" t="str">
        <f>VLOOKUP(Table2[[#This Row],[شماره فني]],Sheet7!A:B,2,0)</f>
        <v>جلو آمپر207 اتوماتیک</v>
      </c>
      <c r="J72" s="11" t="s">
        <v>239</v>
      </c>
      <c r="K72" s="11" t="s">
        <v>334</v>
      </c>
      <c r="L72" s="11" t="s">
        <v>261</v>
      </c>
      <c r="M72" s="11" t="s">
        <v>261</v>
      </c>
      <c r="N72" s="11" t="s">
        <v>261</v>
      </c>
      <c r="O72" s="11" t="s">
        <v>261</v>
      </c>
      <c r="P72" s="11" t="s">
        <v>261</v>
      </c>
      <c r="Q72" s="11" t="s">
        <v>261</v>
      </c>
      <c r="R72" s="11" t="s">
        <v>961</v>
      </c>
      <c r="S72" s="11" t="s">
        <v>261</v>
      </c>
      <c r="T72" s="11" t="s">
        <v>261</v>
      </c>
      <c r="U72" s="11" t="s">
        <v>552</v>
      </c>
      <c r="V72" s="11" t="s">
        <v>784</v>
      </c>
      <c r="W72" s="11">
        <v>15</v>
      </c>
      <c r="X72" s="11" t="s">
        <v>250</v>
      </c>
      <c r="Y72" s="11" t="s">
        <v>261</v>
      </c>
      <c r="Z72" s="11" t="s">
        <v>261</v>
      </c>
      <c r="AA72" s="11" t="s">
        <v>261</v>
      </c>
      <c r="AB72" s="11" t="s">
        <v>583</v>
      </c>
      <c r="AC72" s="11" t="s">
        <v>261</v>
      </c>
      <c r="AD72" s="11" t="s">
        <v>261</v>
      </c>
      <c r="AE72" s="11" t="s">
        <v>551</v>
      </c>
      <c r="AF72" s="12" t="s">
        <v>261</v>
      </c>
      <c r="AG72" s="11" t="s">
        <v>261</v>
      </c>
    </row>
    <row r="73" spans="1:33" ht="45" hidden="1" x14ac:dyDescent="0.25">
      <c r="A73" s="11">
        <v>1</v>
      </c>
      <c r="B73" s="3" t="s">
        <v>261</v>
      </c>
      <c r="C73" s="11">
        <v>200127</v>
      </c>
      <c r="D73" s="11" t="s">
        <v>240</v>
      </c>
      <c r="E73" s="11" t="str">
        <f>MID(Table2[[#This Row],[تاريخ تاييد]],1,7)</f>
        <v>1403/05</v>
      </c>
      <c r="F73" s="11" t="str">
        <f>MID(Table2[[#This Row],[تاريخ تاييد]],6,2)</f>
        <v>05</v>
      </c>
      <c r="G73" s="11" t="s">
        <v>618</v>
      </c>
      <c r="H73" s="11" t="str">
        <f>VLOOKUP(Table2[[#This Row],[شماره فني]],Sheet7!A:C,3,0)</f>
        <v>کلید شیشه بالابر</v>
      </c>
      <c r="I73" s="11" t="str">
        <f>VLOOKUP(Table2[[#This Row],[شماره فني]],Sheet7!A:B,2,0)</f>
        <v>کلید شیشه بالابر جلو راست سورن</v>
      </c>
      <c r="J73" s="11" t="s">
        <v>242</v>
      </c>
      <c r="K73" s="11" t="s">
        <v>723</v>
      </c>
      <c r="L73" s="11" t="s">
        <v>261</v>
      </c>
      <c r="M73" s="11" t="s">
        <v>261</v>
      </c>
      <c r="N73" s="11" t="s">
        <v>261</v>
      </c>
      <c r="O73" s="11" t="s">
        <v>261</v>
      </c>
      <c r="P73" s="11" t="s">
        <v>261</v>
      </c>
      <c r="Q73" s="11" t="s">
        <v>261</v>
      </c>
      <c r="R73" s="11" t="s">
        <v>961</v>
      </c>
      <c r="S73" s="11" t="s">
        <v>261</v>
      </c>
      <c r="T73" s="11" t="s">
        <v>261</v>
      </c>
      <c r="U73" s="11" t="s">
        <v>552</v>
      </c>
      <c r="V73" s="11" t="s">
        <v>784</v>
      </c>
      <c r="W73" s="11">
        <v>5</v>
      </c>
      <c r="X73" s="11" t="s">
        <v>205</v>
      </c>
      <c r="Y73" s="11" t="s">
        <v>261</v>
      </c>
      <c r="Z73" s="11" t="s">
        <v>261</v>
      </c>
      <c r="AA73" s="11" t="s">
        <v>261</v>
      </c>
      <c r="AB73" s="11" t="s">
        <v>583</v>
      </c>
      <c r="AC73" s="11" t="s">
        <v>261</v>
      </c>
      <c r="AD73" s="11" t="s">
        <v>261</v>
      </c>
      <c r="AE73" s="11" t="s">
        <v>551</v>
      </c>
      <c r="AF73" s="12" t="s">
        <v>261</v>
      </c>
      <c r="AG73" s="11" t="s">
        <v>261</v>
      </c>
    </row>
    <row r="74" spans="1:33" ht="45" hidden="1" x14ac:dyDescent="0.25">
      <c r="A74" s="11">
        <v>1</v>
      </c>
      <c r="B74" s="3" t="s">
        <v>261</v>
      </c>
      <c r="C74" s="11">
        <v>200259</v>
      </c>
      <c r="D74" s="11" t="s">
        <v>243</v>
      </c>
      <c r="E74" s="11" t="str">
        <f>MID(Table2[[#This Row],[تاريخ تاييد]],1,7)</f>
        <v>1403/05</v>
      </c>
      <c r="F74" s="11" t="str">
        <f>MID(Table2[[#This Row],[تاريخ تاييد]],6,2)</f>
        <v>05</v>
      </c>
      <c r="G74" s="11" t="s">
        <v>618</v>
      </c>
      <c r="H74" s="11" t="str">
        <f>VLOOKUP(Table2[[#This Row],[شماره فني]],Sheet7!A:C,3,0)</f>
        <v>NOD</v>
      </c>
      <c r="I74" s="11" t="str">
        <f>VLOOKUP(Table2[[#This Row],[شماره فني]],Sheet7!A:B,2,0)</f>
        <v>NBCM TARA SAL</v>
      </c>
      <c r="J74" s="11" t="s">
        <v>244</v>
      </c>
      <c r="K74" s="11" t="s">
        <v>730</v>
      </c>
      <c r="L74" s="11" t="s">
        <v>261</v>
      </c>
      <c r="M74" s="11" t="s">
        <v>261</v>
      </c>
      <c r="N74" s="11" t="s">
        <v>261</v>
      </c>
      <c r="O74" s="11" t="s">
        <v>261</v>
      </c>
      <c r="P74" s="11" t="s">
        <v>261</v>
      </c>
      <c r="Q74" s="11" t="s">
        <v>261</v>
      </c>
      <c r="R74" s="11" t="s">
        <v>961</v>
      </c>
      <c r="S74" s="11" t="s">
        <v>261</v>
      </c>
      <c r="T74" s="11" t="s">
        <v>261</v>
      </c>
      <c r="U74" s="11" t="s">
        <v>552</v>
      </c>
      <c r="V74" s="11" t="s">
        <v>784</v>
      </c>
      <c r="W74" s="11">
        <v>1</v>
      </c>
      <c r="X74" s="11" t="s">
        <v>95</v>
      </c>
      <c r="Y74" s="11" t="s">
        <v>261</v>
      </c>
      <c r="Z74" s="11" t="s">
        <v>261</v>
      </c>
      <c r="AA74" s="11" t="s">
        <v>261</v>
      </c>
      <c r="AB74" s="11" t="s">
        <v>583</v>
      </c>
      <c r="AC74" s="11" t="s">
        <v>261</v>
      </c>
      <c r="AD74" s="11" t="s">
        <v>261</v>
      </c>
      <c r="AE74" s="11" t="s">
        <v>551</v>
      </c>
      <c r="AF74" s="12" t="s">
        <v>261</v>
      </c>
      <c r="AG74" s="11" t="s">
        <v>261</v>
      </c>
    </row>
    <row r="75" spans="1:33" ht="45" hidden="1" x14ac:dyDescent="0.25">
      <c r="A75" s="11">
        <v>1</v>
      </c>
      <c r="B75" s="3" t="s">
        <v>261</v>
      </c>
      <c r="C75" s="11">
        <v>200370</v>
      </c>
      <c r="D75" s="11" t="s">
        <v>245</v>
      </c>
      <c r="E75" s="11" t="str">
        <f>MID(Table2[[#This Row],[تاريخ تاييد]],1,7)</f>
        <v>1403/05</v>
      </c>
      <c r="F75" s="11" t="str">
        <f>MID(Table2[[#This Row],[تاريخ تاييد]],6,2)</f>
        <v>05</v>
      </c>
      <c r="G75" s="11" t="s">
        <v>618</v>
      </c>
      <c r="H75" s="11" t="str">
        <f>VLOOKUP(Table2[[#This Row],[شماره فني]],Sheet7!A:C,3,0)</f>
        <v>NOD</v>
      </c>
      <c r="I75" s="11" t="str">
        <f>VLOOKUP(Table2[[#This Row],[شماره فني]],Sheet7!A:B,2,0)</f>
        <v>NBCM DENA</v>
      </c>
      <c r="J75" s="11" t="s">
        <v>246</v>
      </c>
      <c r="K75" s="11" t="s">
        <v>251</v>
      </c>
      <c r="L75" s="11" t="s">
        <v>261</v>
      </c>
      <c r="M75" s="11" t="s">
        <v>261</v>
      </c>
      <c r="N75" s="11" t="s">
        <v>261</v>
      </c>
      <c r="O75" s="11" t="s">
        <v>261</v>
      </c>
      <c r="P75" s="11" t="s">
        <v>261</v>
      </c>
      <c r="Q75" s="11" t="s">
        <v>261</v>
      </c>
      <c r="R75" s="11" t="s">
        <v>961</v>
      </c>
      <c r="S75" s="11" t="s">
        <v>261</v>
      </c>
      <c r="T75" s="11" t="s">
        <v>261</v>
      </c>
      <c r="U75" s="11" t="s">
        <v>552</v>
      </c>
      <c r="V75" s="11" t="s">
        <v>784</v>
      </c>
      <c r="W75" s="11">
        <v>50</v>
      </c>
      <c r="X75" s="11" t="s">
        <v>16</v>
      </c>
      <c r="Y75" s="11" t="s">
        <v>261</v>
      </c>
      <c r="Z75" s="11" t="s">
        <v>261</v>
      </c>
      <c r="AA75" s="11" t="s">
        <v>261</v>
      </c>
      <c r="AB75" s="11" t="s">
        <v>583</v>
      </c>
      <c r="AC75" s="11" t="s">
        <v>261</v>
      </c>
      <c r="AD75" s="11" t="s">
        <v>261</v>
      </c>
      <c r="AE75" s="11" t="s">
        <v>551</v>
      </c>
      <c r="AF75" s="12" t="s">
        <v>261</v>
      </c>
      <c r="AG75" s="11" t="s">
        <v>261</v>
      </c>
    </row>
    <row r="76" spans="1:33" ht="30" hidden="1" x14ac:dyDescent="0.25">
      <c r="A76" s="11">
        <v>1</v>
      </c>
      <c r="B76" s="3" t="s">
        <v>261</v>
      </c>
      <c r="C76" s="11">
        <v>200393</v>
      </c>
      <c r="D76" s="11" t="s">
        <v>247</v>
      </c>
      <c r="E76" s="11" t="str">
        <f>MID(Table2[[#This Row],[تاريخ تاييد]],1,7)</f>
        <v>1403/05</v>
      </c>
      <c r="F76" s="11" t="str">
        <f>MID(Table2[[#This Row],[تاريخ تاييد]],6,2)</f>
        <v>05</v>
      </c>
      <c r="G76" s="11" t="s">
        <v>618</v>
      </c>
      <c r="H76" s="11" t="str">
        <f>VLOOKUP(Table2[[#This Row],[شماره فني]],Sheet7!A:C,3,0)</f>
        <v>NOD</v>
      </c>
      <c r="I76" s="11" t="str">
        <f>VLOOKUP(Table2[[#This Row],[شماره فني]],Sheet7!A:B,2,0)</f>
        <v>NBCM TARA SAL</v>
      </c>
      <c r="J76" s="11" t="s">
        <v>248</v>
      </c>
      <c r="K76" s="11" t="s">
        <v>232</v>
      </c>
      <c r="L76" s="11" t="s">
        <v>261</v>
      </c>
      <c r="M76" s="11" t="s">
        <v>261</v>
      </c>
      <c r="N76" s="11" t="s">
        <v>261</v>
      </c>
      <c r="O76" s="11" t="s">
        <v>261</v>
      </c>
      <c r="P76" s="11" t="s">
        <v>261</v>
      </c>
      <c r="Q76" s="11" t="s">
        <v>261</v>
      </c>
      <c r="R76" s="11" t="s">
        <v>262</v>
      </c>
      <c r="S76" s="11" t="s">
        <v>261</v>
      </c>
      <c r="T76" s="11" t="s">
        <v>822</v>
      </c>
      <c r="U76" s="11" t="s">
        <v>797</v>
      </c>
      <c r="V76" s="11" t="s">
        <v>561</v>
      </c>
      <c r="W76" s="11">
        <v>1</v>
      </c>
      <c r="X76" s="11" t="s">
        <v>95</v>
      </c>
      <c r="Y76" s="11" t="s">
        <v>261</v>
      </c>
      <c r="Z76" s="11" t="s">
        <v>261</v>
      </c>
      <c r="AA76" s="11" t="s">
        <v>261</v>
      </c>
      <c r="AB76" s="11" t="s">
        <v>28</v>
      </c>
      <c r="AC76" s="11" t="s">
        <v>261</v>
      </c>
      <c r="AD76" s="11" t="s">
        <v>261</v>
      </c>
      <c r="AE76" s="11" t="s">
        <v>551</v>
      </c>
      <c r="AF76" s="12" t="s">
        <v>261</v>
      </c>
      <c r="AG76" s="11" t="s">
        <v>261</v>
      </c>
    </row>
    <row r="77" spans="1:33" ht="45" hidden="1" x14ac:dyDescent="0.25">
      <c r="A77" s="11">
        <v>1</v>
      </c>
      <c r="B77" s="3" t="s">
        <v>261</v>
      </c>
      <c r="C77" s="11">
        <v>200454</v>
      </c>
      <c r="D77" s="11" t="s">
        <v>245</v>
      </c>
      <c r="E77" s="11" t="str">
        <f>MID(Table2[[#This Row],[تاريخ تاييد]],1,7)</f>
        <v>1403/05</v>
      </c>
      <c r="F77" s="11" t="str">
        <f>MID(Table2[[#This Row],[تاريخ تاييد]],6,2)</f>
        <v>05</v>
      </c>
      <c r="G77" s="11" t="s">
        <v>618</v>
      </c>
      <c r="H77" s="11" t="str">
        <f>VLOOKUP(Table2[[#This Row],[شماره فني]],Sheet7!A:C,3,0)</f>
        <v>NOD</v>
      </c>
      <c r="I77" s="11" t="str">
        <f>VLOOKUP(Table2[[#This Row],[شماره فني]],Sheet7!A:B,2,0)</f>
        <v>NBCM 207</v>
      </c>
      <c r="J77" s="11" t="s">
        <v>249</v>
      </c>
      <c r="K77" s="11" t="s">
        <v>730</v>
      </c>
      <c r="L77" s="11" t="s">
        <v>261</v>
      </c>
      <c r="M77" s="11" t="s">
        <v>261</v>
      </c>
      <c r="N77" s="11" t="s">
        <v>261</v>
      </c>
      <c r="O77" s="11" t="s">
        <v>261</v>
      </c>
      <c r="P77" s="11" t="s">
        <v>261</v>
      </c>
      <c r="Q77" s="11" t="s">
        <v>261</v>
      </c>
      <c r="R77" s="11" t="s">
        <v>961</v>
      </c>
      <c r="S77" s="11" t="s">
        <v>261</v>
      </c>
      <c r="T77" s="11" t="s">
        <v>261</v>
      </c>
      <c r="U77" s="11" t="s">
        <v>552</v>
      </c>
      <c r="V77" s="11" t="s">
        <v>784</v>
      </c>
      <c r="W77" s="11">
        <v>1</v>
      </c>
      <c r="X77" s="11" t="s">
        <v>19</v>
      </c>
      <c r="Y77" s="11" t="s">
        <v>261</v>
      </c>
      <c r="Z77" s="11" t="s">
        <v>261</v>
      </c>
      <c r="AA77" s="11" t="s">
        <v>261</v>
      </c>
      <c r="AB77" s="11" t="s">
        <v>583</v>
      </c>
      <c r="AC77" s="11" t="s">
        <v>261</v>
      </c>
      <c r="AD77" s="11" t="s">
        <v>261</v>
      </c>
      <c r="AE77" s="11" t="s">
        <v>551</v>
      </c>
      <c r="AF77" s="12" t="s">
        <v>261</v>
      </c>
      <c r="AG77" s="11" t="s">
        <v>261</v>
      </c>
    </row>
    <row r="78" spans="1:33" ht="30" hidden="1" x14ac:dyDescent="0.25">
      <c r="A78" s="11">
        <v>1</v>
      </c>
      <c r="B78" s="3" t="s">
        <v>261</v>
      </c>
      <c r="C78" s="11">
        <v>200656</v>
      </c>
      <c r="D78" s="11" t="s">
        <v>263</v>
      </c>
      <c r="E78" s="11" t="str">
        <f>MID(Table2[[#This Row],[تاريخ تاييد]],1,7)</f>
        <v>1403/06</v>
      </c>
      <c r="F78" s="11" t="str">
        <f>MID(Table2[[#This Row],[تاريخ تاييد]],6,2)</f>
        <v>06</v>
      </c>
      <c r="G78" s="11" t="s">
        <v>618</v>
      </c>
      <c r="H78" s="11" t="str">
        <f>VLOOKUP(Table2[[#This Row],[شماره فني]],Sheet7!A:C,3,0)</f>
        <v>جلو آمپر</v>
      </c>
      <c r="I78" s="11" t="str">
        <f>VLOOKUP(Table2[[#This Row],[شماره فني]],Sheet7!A:B,2,0)</f>
        <v>جلو آمپر تارا اتوماتیک</v>
      </c>
      <c r="J78" s="11" t="s">
        <v>273</v>
      </c>
      <c r="K78" s="11" t="s">
        <v>231</v>
      </c>
      <c r="L78" s="11" t="s">
        <v>23</v>
      </c>
      <c r="M78" s="11" t="s">
        <v>261</v>
      </c>
      <c r="N78" s="11" t="s">
        <v>261</v>
      </c>
      <c r="O78" s="11" t="s">
        <v>261</v>
      </c>
      <c r="P78" s="11" t="s">
        <v>261</v>
      </c>
      <c r="Q78" s="11" t="s">
        <v>261</v>
      </c>
      <c r="R78" s="11" t="s">
        <v>447</v>
      </c>
      <c r="S78" s="11" t="s">
        <v>584</v>
      </c>
      <c r="T78" s="11" t="s">
        <v>808</v>
      </c>
      <c r="U78" s="11" t="s">
        <v>810</v>
      </c>
      <c r="V78" s="11" t="s">
        <v>586</v>
      </c>
      <c r="W78" s="11">
        <v>1</v>
      </c>
      <c r="X78" s="11" t="s">
        <v>20</v>
      </c>
      <c r="Y78" s="11" t="s">
        <v>261</v>
      </c>
      <c r="Z78" s="11" t="s">
        <v>261</v>
      </c>
      <c r="AA78" s="11" t="s">
        <v>261</v>
      </c>
      <c r="AB78" s="11" t="s">
        <v>26</v>
      </c>
      <c r="AC78" s="11" t="s">
        <v>261</v>
      </c>
      <c r="AD78" s="11" t="s">
        <v>448</v>
      </c>
      <c r="AE78" s="11" t="s">
        <v>551</v>
      </c>
      <c r="AF78" s="12" t="s">
        <v>261</v>
      </c>
      <c r="AG78" s="11" t="s">
        <v>261</v>
      </c>
    </row>
    <row r="79" spans="1:33" ht="45" hidden="1" x14ac:dyDescent="0.25">
      <c r="A79" s="11">
        <v>1</v>
      </c>
      <c r="B79" s="3" t="s">
        <v>261</v>
      </c>
      <c r="C79" s="11">
        <v>200718</v>
      </c>
      <c r="D79" s="11" t="s">
        <v>264</v>
      </c>
      <c r="E79" s="11" t="str">
        <f>MID(Table2[[#This Row],[تاريخ تاييد]],1,7)</f>
        <v>1403/06</v>
      </c>
      <c r="F79" s="11" t="str">
        <f>MID(Table2[[#This Row],[تاريخ تاييد]],6,2)</f>
        <v>06</v>
      </c>
      <c r="G79" s="11" t="s">
        <v>618</v>
      </c>
      <c r="H79" s="11" t="str">
        <f>VLOOKUP(Table2[[#This Row],[شماره فني]],Sheet7!A:C,3,0)</f>
        <v>جلو آمپر</v>
      </c>
      <c r="I79" s="11" t="str">
        <f>VLOOKUP(Table2[[#This Row],[شماره فني]],Sheet7!A:B,2,0)</f>
        <v>جلو آمپر207  معمولی85 گانه</v>
      </c>
      <c r="J79" s="11" t="s">
        <v>274</v>
      </c>
      <c r="K79" s="11" t="s">
        <v>335</v>
      </c>
      <c r="L79" s="11" t="s">
        <v>261</v>
      </c>
      <c r="M79" s="11" t="s">
        <v>261</v>
      </c>
      <c r="N79" s="11" t="s">
        <v>261</v>
      </c>
      <c r="O79" s="11" t="s">
        <v>261</v>
      </c>
      <c r="P79" s="11" t="s">
        <v>261</v>
      </c>
      <c r="Q79" s="11" t="s">
        <v>261</v>
      </c>
      <c r="R79" s="11" t="s">
        <v>961</v>
      </c>
      <c r="S79" s="11" t="s">
        <v>261</v>
      </c>
      <c r="T79" s="11" t="s">
        <v>261</v>
      </c>
      <c r="U79" s="11" t="s">
        <v>552</v>
      </c>
      <c r="V79" s="11" t="s">
        <v>784</v>
      </c>
      <c r="W79" s="11">
        <v>1</v>
      </c>
      <c r="X79" s="11" t="s">
        <v>30</v>
      </c>
      <c r="Y79" s="11" t="s">
        <v>261</v>
      </c>
      <c r="Z79" s="11" t="s">
        <v>261</v>
      </c>
      <c r="AA79" s="11" t="s">
        <v>261</v>
      </c>
      <c r="AB79" s="11" t="s">
        <v>583</v>
      </c>
      <c r="AC79" s="11" t="s">
        <v>261</v>
      </c>
      <c r="AD79" s="11" t="s">
        <v>261</v>
      </c>
      <c r="AE79" s="11" t="s">
        <v>551</v>
      </c>
      <c r="AF79" s="12" t="s">
        <v>965</v>
      </c>
      <c r="AG79" s="11" t="s">
        <v>261</v>
      </c>
    </row>
    <row r="80" spans="1:33" ht="45" hidden="1" x14ac:dyDescent="0.25">
      <c r="A80" s="11">
        <v>1</v>
      </c>
      <c r="B80" s="3" t="s">
        <v>261</v>
      </c>
      <c r="C80" s="11">
        <v>200745</v>
      </c>
      <c r="D80" s="11" t="s">
        <v>265</v>
      </c>
      <c r="E80" s="11" t="str">
        <f>MID(Table2[[#This Row],[تاريخ تاييد]],1,7)</f>
        <v>1403/06</v>
      </c>
      <c r="F80" s="11" t="str">
        <f>MID(Table2[[#This Row],[تاريخ تاييد]],6,2)</f>
        <v>06</v>
      </c>
      <c r="G80" s="11" t="s">
        <v>618</v>
      </c>
      <c r="H80" s="11" t="str">
        <f>VLOOKUP(Table2[[#This Row],[شماره فني]],Sheet7!A:C,3,0)</f>
        <v>کلید شیشه بالابر</v>
      </c>
      <c r="I80" s="11" t="str">
        <f>VLOOKUP(Table2[[#This Row],[شماره فني]],Sheet7!A:B,2,0)</f>
        <v>کلید شیشه بالابر عقب چپ سورن</v>
      </c>
      <c r="J80" s="11" t="s">
        <v>275</v>
      </c>
      <c r="K80" s="11" t="s">
        <v>723</v>
      </c>
      <c r="L80" s="11" t="s">
        <v>261</v>
      </c>
      <c r="M80" s="11" t="s">
        <v>261</v>
      </c>
      <c r="N80" s="11" t="s">
        <v>261</v>
      </c>
      <c r="O80" s="11" t="s">
        <v>261</v>
      </c>
      <c r="P80" s="11" t="s">
        <v>261</v>
      </c>
      <c r="Q80" s="11" t="s">
        <v>261</v>
      </c>
      <c r="R80" s="11" t="s">
        <v>961</v>
      </c>
      <c r="S80" s="11" t="s">
        <v>261</v>
      </c>
      <c r="T80" s="11" t="s">
        <v>261</v>
      </c>
      <c r="U80" s="11" t="s">
        <v>552</v>
      </c>
      <c r="V80" s="11" t="s">
        <v>784</v>
      </c>
      <c r="W80" s="11">
        <v>3</v>
      </c>
      <c r="X80" s="11" t="s">
        <v>287</v>
      </c>
      <c r="Y80" s="11" t="s">
        <v>261</v>
      </c>
      <c r="Z80" s="11" t="s">
        <v>261</v>
      </c>
      <c r="AA80" s="11" t="s">
        <v>261</v>
      </c>
      <c r="AB80" s="11" t="s">
        <v>583</v>
      </c>
      <c r="AC80" s="11" t="s">
        <v>261</v>
      </c>
      <c r="AD80" s="11" t="s">
        <v>261</v>
      </c>
      <c r="AE80" s="11" t="s">
        <v>551</v>
      </c>
      <c r="AF80" s="12" t="s">
        <v>261</v>
      </c>
      <c r="AG80" s="11" t="s">
        <v>261</v>
      </c>
    </row>
    <row r="81" spans="1:33" ht="45" hidden="1" x14ac:dyDescent="0.25">
      <c r="A81" s="11">
        <v>1</v>
      </c>
      <c r="B81" s="3" t="s">
        <v>261</v>
      </c>
      <c r="C81" s="11">
        <v>201013</v>
      </c>
      <c r="D81" s="11" t="s">
        <v>266</v>
      </c>
      <c r="E81" s="11" t="str">
        <f>MID(Table2[[#This Row],[تاريخ تاييد]],1,7)</f>
        <v>1403/06</v>
      </c>
      <c r="F81" s="11" t="str">
        <f>MID(Table2[[#This Row],[تاريخ تاييد]],6,2)</f>
        <v>06</v>
      </c>
      <c r="G81" s="11" t="s">
        <v>618</v>
      </c>
      <c r="H81" s="11" t="str">
        <f>VLOOKUP(Table2[[#This Row],[شماره فني]],Sheet7!A:C,3,0)</f>
        <v>کلید شیشه بالابر</v>
      </c>
      <c r="I81" s="11" t="str">
        <f>VLOOKUP(Table2[[#This Row],[شماره فني]],Sheet7!A:B,2,0)</f>
        <v>کلید شیشه بالابر عقب چپ سورن</v>
      </c>
      <c r="J81" s="11" t="s">
        <v>276</v>
      </c>
      <c r="K81" s="11" t="s">
        <v>723</v>
      </c>
      <c r="L81" s="11" t="s">
        <v>261</v>
      </c>
      <c r="M81" s="11" t="s">
        <v>261</v>
      </c>
      <c r="N81" s="11" t="s">
        <v>261</v>
      </c>
      <c r="O81" s="11" t="s">
        <v>261</v>
      </c>
      <c r="P81" s="11" t="s">
        <v>261</v>
      </c>
      <c r="Q81" s="11" t="s">
        <v>261</v>
      </c>
      <c r="R81" s="11" t="s">
        <v>961</v>
      </c>
      <c r="S81" s="11" t="s">
        <v>261</v>
      </c>
      <c r="T81" s="11" t="s">
        <v>261</v>
      </c>
      <c r="U81" s="11" t="s">
        <v>552</v>
      </c>
      <c r="V81" s="11" t="s">
        <v>784</v>
      </c>
      <c r="W81" s="11">
        <v>10</v>
      </c>
      <c r="X81" s="11" t="s">
        <v>287</v>
      </c>
      <c r="Y81" s="11" t="s">
        <v>261</v>
      </c>
      <c r="Z81" s="11" t="s">
        <v>261</v>
      </c>
      <c r="AA81" s="11" t="s">
        <v>261</v>
      </c>
      <c r="AB81" s="11" t="s">
        <v>583</v>
      </c>
      <c r="AC81" s="11" t="s">
        <v>261</v>
      </c>
      <c r="AD81" s="11" t="s">
        <v>261</v>
      </c>
      <c r="AE81" s="11" t="s">
        <v>551</v>
      </c>
      <c r="AF81" s="12" t="s">
        <v>261</v>
      </c>
      <c r="AG81" s="11" t="s">
        <v>261</v>
      </c>
    </row>
    <row r="82" spans="1:33" ht="45" hidden="1" x14ac:dyDescent="0.25">
      <c r="A82" s="11">
        <v>1</v>
      </c>
      <c r="B82" s="3" t="s">
        <v>261</v>
      </c>
      <c r="C82" s="11">
        <v>201103</v>
      </c>
      <c r="D82" s="11" t="s">
        <v>267</v>
      </c>
      <c r="E82" s="11" t="str">
        <f>MID(Table2[[#This Row],[تاريخ تاييد]],1,7)</f>
        <v>1403/06</v>
      </c>
      <c r="F82" s="11" t="str">
        <f>MID(Table2[[#This Row],[تاريخ تاييد]],6,2)</f>
        <v>06</v>
      </c>
      <c r="G82" s="11" t="s">
        <v>618</v>
      </c>
      <c r="H82" s="11" t="str">
        <f>VLOOKUP(Table2[[#This Row],[شماره فني]],Sheet7!A:C,3,0)</f>
        <v>MFD</v>
      </c>
      <c r="I82" s="11" t="str">
        <f>VLOOKUP(Table2[[#This Row],[شماره فني]],Sheet7!A:B,2,0)</f>
        <v>MFD RUNNA</v>
      </c>
      <c r="J82" s="11" t="s">
        <v>277</v>
      </c>
      <c r="K82" s="11" t="s">
        <v>231</v>
      </c>
      <c r="L82" s="11" t="s">
        <v>261</v>
      </c>
      <c r="M82" s="11" t="s">
        <v>261</v>
      </c>
      <c r="N82" s="11" t="s">
        <v>261</v>
      </c>
      <c r="O82" s="11" t="s">
        <v>261</v>
      </c>
      <c r="P82" s="11" t="s">
        <v>261</v>
      </c>
      <c r="Q82" s="11" t="s">
        <v>261</v>
      </c>
      <c r="R82" s="11" t="s">
        <v>961</v>
      </c>
      <c r="S82" s="11" t="s">
        <v>261</v>
      </c>
      <c r="T82" s="11" t="s">
        <v>261</v>
      </c>
      <c r="U82" s="11" t="s">
        <v>552</v>
      </c>
      <c r="V82" s="11" t="s">
        <v>784</v>
      </c>
      <c r="W82" s="11">
        <v>1</v>
      </c>
      <c r="X82" s="11" t="s">
        <v>121</v>
      </c>
      <c r="Y82" s="11" t="s">
        <v>261</v>
      </c>
      <c r="Z82" s="11" t="s">
        <v>261</v>
      </c>
      <c r="AA82" s="11" t="s">
        <v>261</v>
      </c>
      <c r="AB82" s="11" t="s">
        <v>583</v>
      </c>
      <c r="AC82" s="11" t="s">
        <v>261</v>
      </c>
      <c r="AD82" s="11" t="s">
        <v>261</v>
      </c>
      <c r="AE82" s="11" t="s">
        <v>551</v>
      </c>
      <c r="AF82" s="12" t="s">
        <v>261</v>
      </c>
      <c r="AG82" s="11" t="s">
        <v>261</v>
      </c>
    </row>
    <row r="83" spans="1:33" ht="30" hidden="1" x14ac:dyDescent="0.25">
      <c r="A83" s="11">
        <v>1</v>
      </c>
      <c r="B83" s="3" t="s">
        <v>261</v>
      </c>
      <c r="C83" s="11">
        <v>201154</v>
      </c>
      <c r="D83" s="11" t="s">
        <v>268</v>
      </c>
      <c r="E83" s="11" t="str">
        <f>MID(Table2[[#This Row],[تاريخ تاييد]],1,7)</f>
        <v>1403/06</v>
      </c>
      <c r="F83" s="11" t="str">
        <f>MID(Table2[[#This Row],[تاريخ تاييد]],6,2)</f>
        <v>06</v>
      </c>
      <c r="G83" s="11" t="s">
        <v>618</v>
      </c>
      <c r="H83" s="11" t="str">
        <f>VLOOKUP(Table2[[#This Row],[شماره فني]],Sheet7!A:C,3,0)</f>
        <v>جلو آمپر</v>
      </c>
      <c r="I83" s="11" t="str">
        <f>VLOOKUP(Table2[[#This Row],[شماره فني]],Sheet7!A:B,2,0)</f>
        <v>جلو آمپر تارا دستی</v>
      </c>
      <c r="J83" s="11" t="s">
        <v>278</v>
      </c>
      <c r="K83" s="11" t="s">
        <v>231</v>
      </c>
      <c r="L83" s="11" t="s">
        <v>261</v>
      </c>
      <c r="M83" s="11" t="s">
        <v>261</v>
      </c>
      <c r="N83" s="11" t="s">
        <v>261</v>
      </c>
      <c r="O83" s="11" t="s">
        <v>261</v>
      </c>
      <c r="P83" s="11" t="s">
        <v>261</v>
      </c>
      <c r="Q83" s="11" t="s">
        <v>261</v>
      </c>
      <c r="R83" s="11" t="s">
        <v>261</v>
      </c>
      <c r="S83" s="11" t="s">
        <v>261</v>
      </c>
      <c r="T83" s="11" t="s">
        <v>231</v>
      </c>
      <c r="U83" s="11" t="s">
        <v>797</v>
      </c>
      <c r="V83" s="11" t="s">
        <v>561</v>
      </c>
      <c r="W83" s="11">
        <v>1</v>
      </c>
      <c r="X83" s="11" t="s">
        <v>97</v>
      </c>
      <c r="Y83" s="11" t="s">
        <v>261</v>
      </c>
      <c r="Z83" s="11" t="s">
        <v>261</v>
      </c>
      <c r="AA83" s="11" t="s">
        <v>261</v>
      </c>
      <c r="AB83" s="11" t="s">
        <v>28</v>
      </c>
      <c r="AC83" s="11" t="s">
        <v>261</v>
      </c>
      <c r="AD83" s="11" t="s">
        <v>261</v>
      </c>
      <c r="AE83" s="11" t="s">
        <v>551</v>
      </c>
      <c r="AF83" s="12" t="s">
        <v>261</v>
      </c>
      <c r="AG83" s="11" t="s">
        <v>261</v>
      </c>
    </row>
    <row r="84" spans="1:33" ht="30" hidden="1" x14ac:dyDescent="0.25">
      <c r="A84" s="11">
        <v>1</v>
      </c>
      <c r="B84" s="3" t="s">
        <v>261</v>
      </c>
      <c r="C84" s="11">
        <v>201186</v>
      </c>
      <c r="D84" s="11" t="s">
        <v>269</v>
      </c>
      <c r="E84" s="11" t="str">
        <f>MID(Table2[[#This Row],[تاريخ تاييد]],1,7)</f>
        <v>1403/06</v>
      </c>
      <c r="F84" s="11" t="str">
        <f>MID(Table2[[#This Row],[تاريخ تاييد]],6,2)</f>
        <v>06</v>
      </c>
      <c r="G84" s="11" t="s">
        <v>618</v>
      </c>
      <c r="H84" s="11" t="str">
        <f>VLOOKUP(Table2[[#This Row],[شماره فني]],Sheet7!A:C,3,0)</f>
        <v>جلو آمپر</v>
      </c>
      <c r="I84" s="11" t="str">
        <f>VLOOKUP(Table2[[#This Row],[شماره فني]],Sheet7!A:B,2,0)</f>
        <v>جلو آمپر207  معمولی85 گانه</v>
      </c>
      <c r="J84" s="11" t="s">
        <v>279</v>
      </c>
      <c r="K84" s="11" t="s">
        <v>233</v>
      </c>
      <c r="L84" s="11" t="s">
        <v>261</v>
      </c>
      <c r="M84" s="11" t="s">
        <v>261</v>
      </c>
      <c r="N84" s="11" t="s">
        <v>261</v>
      </c>
      <c r="O84" s="11" t="s">
        <v>261</v>
      </c>
      <c r="P84" s="11" t="s">
        <v>261</v>
      </c>
      <c r="Q84" s="11" t="s">
        <v>261</v>
      </c>
      <c r="R84" s="11" t="s">
        <v>224</v>
      </c>
      <c r="S84" s="11" t="s">
        <v>261</v>
      </c>
      <c r="T84" s="11" t="s">
        <v>803</v>
      </c>
      <c r="U84" s="11" t="s">
        <v>797</v>
      </c>
      <c r="V84" s="11" t="s">
        <v>561</v>
      </c>
      <c r="W84" s="11">
        <v>3</v>
      </c>
      <c r="X84" s="11" t="s">
        <v>30</v>
      </c>
      <c r="Y84" s="11" t="s">
        <v>261</v>
      </c>
      <c r="Z84" s="11" t="s">
        <v>290</v>
      </c>
      <c r="AA84" s="11" t="s">
        <v>66</v>
      </c>
      <c r="AB84" s="11" t="s">
        <v>28</v>
      </c>
      <c r="AC84" s="11" t="s">
        <v>261</v>
      </c>
      <c r="AD84" s="11" t="s">
        <v>261</v>
      </c>
      <c r="AE84" s="11" t="s">
        <v>551</v>
      </c>
      <c r="AF84" s="12" t="s">
        <v>261</v>
      </c>
      <c r="AG84" s="11" t="s">
        <v>261</v>
      </c>
    </row>
    <row r="85" spans="1:33" ht="30" hidden="1" x14ac:dyDescent="0.25">
      <c r="A85" s="11">
        <v>1</v>
      </c>
      <c r="B85" s="3" t="s">
        <v>261</v>
      </c>
      <c r="C85" s="11">
        <v>201209</v>
      </c>
      <c r="D85" s="11" t="s">
        <v>270</v>
      </c>
      <c r="E85" s="11" t="str">
        <f>MID(Table2[[#This Row],[تاريخ تاييد]],1,7)</f>
        <v>1403/06</v>
      </c>
      <c r="F85" s="11" t="str">
        <f>MID(Table2[[#This Row],[تاريخ تاييد]],6,2)</f>
        <v>06</v>
      </c>
      <c r="G85" s="11" t="s">
        <v>618</v>
      </c>
      <c r="H85" s="11" t="str">
        <f>VLOOKUP(Table2[[#This Row],[شماره فني]],Sheet7!A:C,3,0)</f>
        <v>جلو آمپر</v>
      </c>
      <c r="I85" s="11" t="str">
        <f>VLOOKUP(Table2[[#This Row],[شماره فني]],Sheet7!A:B,2,0)</f>
        <v>جلو آمپر دنا ST</v>
      </c>
      <c r="J85" s="11" t="s">
        <v>280</v>
      </c>
      <c r="K85" s="11" t="s">
        <v>723</v>
      </c>
      <c r="L85" s="11" t="s">
        <v>261</v>
      </c>
      <c r="M85" s="11" t="s">
        <v>261</v>
      </c>
      <c r="N85" s="11" t="s">
        <v>261</v>
      </c>
      <c r="O85" s="11" t="s">
        <v>261</v>
      </c>
      <c r="P85" s="11" t="s">
        <v>261</v>
      </c>
      <c r="Q85" s="11" t="s">
        <v>261</v>
      </c>
      <c r="R85" s="11" t="s">
        <v>257</v>
      </c>
      <c r="S85" s="11" t="s">
        <v>587</v>
      </c>
      <c r="T85" s="11" t="s">
        <v>805</v>
      </c>
      <c r="U85" s="11" t="s">
        <v>797</v>
      </c>
      <c r="V85" s="11" t="s">
        <v>561</v>
      </c>
      <c r="W85" s="11">
        <v>1</v>
      </c>
      <c r="X85" s="11" t="s">
        <v>96</v>
      </c>
      <c r="Y85" s="11" t="s">
        <v>261</v>
      </c>
      <c r="Z85" s="11" t="s">
        <v>290</v>
      </c>
      <c r="AA85" s="11" t="s">
        <v>66</v>
      </c>
      <c r="AB85" s="11" t="s">
        <v>28</v>
      </c>
      <c r="AC85" s="11" t="s">
        <v>261</v>
      </c>
      <c r="AD85" s="11" t="s">
        <v>261</v>
      </c>
      <c r="AE85" s="11" t="s">
        <v>551</v>
      </c>
      <c r="AF85" s="12" t="s">
        <v>261</v>
      </c>
      <c r="AG85" s="11" t="s">
        <v>261</v>
      </c>
    </row>
    <row r="86" spans="1:33" ht="45" hidden="1" x14ac:dyDescent="0.25">
      <c r="A86" s="11">
        <v>1</v>
      </c>
      <c r="B86" s="3" t="s">
        <v>261</v>
      </c>
      <c r="C86" s="11">
        <v>201216</v>
      </c>
      <c r="D86" s="11" t="s">
        <v>270</v>
      </c>
      <c r="E86" s="11" t="str">
        <f>MID(Table2[[#This Row],[تاريخ تاييد]],1,7)</f>
        <v>1403/06</v>
      </c>
      <c r="F86" s="11" t="str">
        <f>MID(Table2[[#This Row],[تاريخ تاييد]],6,2)</f>
        <v>06</v>
      </c>
      <c r="G86" s="11" t="s">
        <v>618</v>
      </c>
      <c r="H86" s="11" t="str">
        <f>VLOOKUP(Table2[[#This Row],[شماره فني]],Sheet7!A:C,3,0)</f>
        <v>جلو آمپر</v>
      </c>
      <c r="I86" s="11" t="str">
        <f>VLOOKUP(Table2[[#This Row],[شماره فني]],Sheet7!A:B,2,0)</f>
        <v>جلو آمپر207  معمولی85 گانه</v>
      </c>
      <c r="J86" s="11" t="s">
        <v>281</v>
      </c>
      <c r="K86" s="11" t="s">
        <v>233</v>
      </c>
      <c r="L86" s="11" t="s">
        <v>261</v>
      </c>
      <c r="M86" s="11" t="s">
        <v>261</v>
      </c>
      <c r="N86" s="11" t="s">
        <v>261</v>
      </c>
      <c r="O86" s="11" t="s">
        <v>261</v>
      </c>
      <c r="P86" s="11" t="s">
        <v>261</v>
      </c>
      <c r="Q86" s="11" t="s">
        <v>261</v>
      </c>
      <c r="R86" s="11" t="s">
        <v>961</v>
      </c>
      <c r="S86" s="11" t="s">
        <v>261</v>
      </c>
      <c r="T86" s="11" t="s">
        <v>261</v>
      </c>
      <c r="U86" s="11" t="s">
        <v>552</v>
      </c>
      <c r="V86" s="11" t="s">
        <v>784</v>
      </c>
      <c r="W86" s="11">
        <v>1</v>
      </c>
      <c r="X86" s="11" t="s">
        <v>30</v>
      </c>
      <c r="Y86" s="11" t="s">
        <v>261</v>
      </c>
      <c r="Z86" s="11" t="s">
        <v>261</v>
      </c>
      <c r="AA86" s="11" t="s">
        <v>261</v>
      </c>
      <c r="AB86" s="11" t="s">
        <v>583</v>
      </c>
      <c r="AC86" s="11" t="s">
        <v>261</v>
      </c>
      <c r="AD86" s="11" t="s">
        <v>261</v>
      </c>
      <c r="AE86" s="11" t="s">
        <v>551</v>
      </c>
      <c r="AF86" s="12" t="s">
        <v>261</v>
      </c>
      <c r="AG86" s="11" t="s">
        <v>261</v>
      </c>
    </row>
    <row r="87" spans="1:33" ht="30" hidden="1" x14ac:dyDescent="0.25">
      <c r="A87" s="11">
        <v>1</v>
      </c>
      <c r="B87" s="3" t="s">
        <v>261</v>
      </c>
      <c r="C87" s="11">
        <v>201369</v>
      </c>
      <c r="D87" s="11" t="s">
        <v>269</v>
      </c>
      <c r="E87" s="11" t="str">
        <f>MID(Table2[[#This Row],[تاريخ تاييد]],1,7)</f>
        <v>1403/06</v>
      </c>
      <c r="F87" s="11" t="str">
        <f>MID(Table2[[#This Row],[تاريخ تاييد]],6,2)</f>
        <v>06</v>
      </c>
      <c r="G87" s="11" t="s">
        <v>618</v>
      </c>
      <c r="H87" s="11" t="str">
        <f>VLOOKUP(Table2[[#This Row],[شماره فني]],Sheet7!A:C,3,0)</f>
        <v>NOD</v>
      </c>
      <c r="I87" s="11" t="str">
        <f>VLOOKUP(Table2[[#This Row],[شماره فني]],Sheet7!A:B,2,0)</f>
        <v>NBCM 207</v>
      </c>
      <c r="J87" s="11" t="s">
        <v>282</v>
      </c>
      <c r="K87" s="11" t="s">
        <v>230</v>
      </c>
      <c r="L87" s="11" t="s">
        <v>261</v>
      </c>
      <c r="M87" s="11" t="s">
        <v>261</v>
      </c>
      <c r="N87" s="11" t="s">
        <v>261</v>
      </c>
      <c r="O87" s="11" t="s">
        <v>261</v>
      </c>
      <c r="P87" s="11" t="s">
        <v>261</v>
      </c>
      <c r="Q87" s="11" t="s">
        <v>261</v>
      </c>
      <c r="R87" s="11" t="s">
        <v>230</v>
      </c>
      <c r="S87" s="11" t="s">
        <v>391</v>
      </c>
      <c r="T87" s="11" t="s">
        <v>527</v>
      </c>
      <c r="U87" s="11" t="s">
        <v>230</v>
      </c>
      <c r="V87" s="11" t="s">
        <v>561</v>
      </c>
      <c r="W87" s="11">
        <v>1</v>
      </c>
      <c r="X87" s="11" t="s">
        <v>19</v>
      </c>
      <c r="Y87" s="11" t="s">
        <v>261</v>
      </c>
      <c r="Z87" s="11" t="s">
        <v>290</v>
      </c>
      <c r="AA87" s="11" t="s">
        <v>66</v>
      </c>
      <c r="AB87" s="11" t="s">
        <v>28</v>
      </c>
      <c r="AC87" s="11" t="s">
        <v>261</v>
      </c>
      <c r="AD87" s="11" t="s">
        <v>261</v>
      </c>
      <c r="AE87" s="11" t="s">
        <v>551</v>
      </c>
      <c r="AF87" s="12" t="s">
        <v>261</v>
      </c>
      <c r="AG87" s="11" t="s">
        <v>348</v>
      </c>
    </row>
    <row r="88" spans="1:33" ht="45" hidden="1" x14ac:dyDescent="0.25">
      <c r="A88" s="11">
        <v>1</v>
      </c>
      <c r="B88" s="3" t="s">
        <v>261</v>
      </c>
      <c r="C88" s="11">
        <v>201405</v>
      </c>
      <c r="D88" s="11" t="s">
        <v>271</v>
      </c>
      <c r="E88" s="11" t="str">
        <f>MID(Table2[[#This Row],[تاريخ تاييد]],1,7)</f>
        <v>1403/06</v>
      </c>
      <c r="F88" s="11" t="str">
        <f>MID(Table2[[#This Row],[تاريخ تاييد]],6,2)</f>
        <v>06</v>
      </c>
      <c r="G88" s="11" t="s">
        <v>618</v>
      </c>
      <c r="H88" s="11" t="str">
        <f>VLOOKUP(Table2[[#This Row],[شماره فني]],Sheet7!A:C,3,0)</f>
        <v>NOD</v>
      </c>
      <c r="I88" s="11" t="str">
        <f>VLOOKUP(Table2[[#This Row],[شماره فني]],Sheet7!A:B,2,0)</f>
        <v>NBCM SOREN</v>
      </c>
      <c r="J88" s="11" t="s">
        <v>283</v>
      </c>
      <c r="K88" s="11" t="s">
        <v>289</v>
      </c>
      <c r="L88" s="11" t="s">
        <v>261</v>
      </c>
      <c r="M88" s="11" t="s">
        <v>261</v>
      </c>
      <c r="N88" s="11" t="s">
        <v>261</v>
      </c>
      <c r="O88" s="11" t="s">
        <v>261</v>
      </c>
      <c r="P88" s="11" t="s">
        <v>261</v>
      </c>
      <c r="Q88" s="11" t="s">
        <v>261</v>
      </c>
      <c r="R88" s="11" t="s">
        <v>961</v>
      </c>
      <c r="S88" s="11" t="s">
        <v>261</v>
      </c>
      <c r="T88" s="11" t="s">
        <v>261</v>
      </c>
      <c r="U88" s="11" t="s">
        <v>552</v>
      </c>
      <c r="V88" s="11" t="s">
        <v>784</v>
      </c>
      <c r="W88" s="11">
        <v>4</v>
      </c>
      <c r="X88" s="11" t="s">
        <v>288</v>
      </c>
      <c r="Y88" s="11" t="s">
        <v>261</v>
      </c>
      <c r="Z88" s="11" t="s">
        <v>261</v>
      </c>
      <c r="AA88" s="11" t="s">
        <v>261</v>
      </c>
      <c r="AB88" s="11" t="s">
        <v>583</v>
      </c>
      <c r="AC88" s="11" t="s">
        <v>261</v>
      </c>
      <c r="AD88" s="11" t="s">
        <v>261</v>
      </c>
      <c r="AE88" s="11" t="s">
        <v>551</v>
      </c>
      <c r="AF88" s="12" t="s">
        <v>261</v>
      </c>
      <c r="AG88" s="11" t="s">
        <v>261</v>
      </c>
    </row>
    <row r="89" spans="1:33" ht="30" hidden="1" x14ac:dyDescent="0.25">
      <c r="A89" s="11">
        <v>1</v>
      </c>
      <c r="B89" s="3" t="s">
        <v>261</v>
      </c>
      <c r="C89" s="11">
        <v>201572</v>
      </c>
      <c r="D89" s="11" t="s">
        <v>271</v>
      </c>
      <c r="E89" s="11" t="str">
        <f>MID(Table2[[#This Row],[تاريخ تاييد]],1,7)</f>
        <v>1403/06</v>
      </c>
      <c r="F89" s="11" t="str">
        <f>MID(Table2[[#This Row],[تاريخ تاييد]],6,2)</f>
        <v>06</v>
      </c>
      <c r="G89" s="11" t="s">
        <v>618</v>
      </c>
      <c r="H89" s="11" t="str">
        <f>VLOOKUP(Table2[[#This Row],[شماره فني]],Sheet7!A:C,3,0)</f>
        <v>NOD</v>
      </c>
      <c r="I89" s="11" t="str">
        <f>VLOOKUP(Table2[[#This Row],[شماره فني]],Sheet7!A:B,2,0)</f>
        <v>NBCM 207</v>
      </c>
      <c r="J89" s="11" t="s">
        <v>284</v>
      </c>
      <c r="K89" s="11" t="s">
        <v>1081</v>
      </c>
      <c r="L89" s="11" t="s">
        <v>22</v>
      </c>
      <c r="M89" s="11" t="s">
        <v>290</v>
      </c>
      <c r="N89" s="11" t="s">
        <v>261</v>
      </c>
      <c r="O89" s="11" t="s">
        <v>261</v>
      </c>
      <c r="P89" s="11" t="s">
        <v>261</v>
      </c>
      <c r="Q89" s="11" t="s">
        <v>261</v>
      </c>
      <c r="R89" s="11" t="s">
        <v>291</v>
      </c>
      <c r="S89" s="11" t="s">
        <v>258</v>
      </c>
      <c r="T89" s="11" t="s">
        <v>817</v>
      </c>
      <c r="U89" s="11" t="s">
        <v>824</v>
      </c>
      <c r="V89" s="11" t="s">
        <v>565</v>
      </c>
      <c r="W89" s="11">
        <v>1</v>
      </c>
      <c r="X89" s="11" t="s">
        <v>19</v>
      </c>
      <c r="Y89" s="11" t="s">
        <v>261</v>
      </c>
      <c r="Z89" s="11" t="s">
        <v>290</v>
      </c>
      <c r="AA89" s="11" t="s">
        <v>66</v>
      </c>
      <c r="AB89" s="11" t="s">
        <v>27</v>
      </c>
      <c r="AC89" s="11" t="s">
        <v>986</v>
      </c>
      <c r="AD89" s="11" t="s">
        <v>261</v>
      </c>
      <c r="AE89" s="11" t="s">
        <v>551</v>
      </c>
      <c r="AF89" s="12" t="s">
        <v>261</v>
      </c>
      <c r="AG89" s="11" t="s">
        <v>261</v>
      </c>
    </row>
    <row r="90" spans="1:33" ht="45" hidden="1" x14ac:dyDescent="0.25">
      <c r="A90" s="11">
        <v>1</v>
      </c>
      <c r="B90" s="3" t="s">
        <v>261</v>
      </c>
      <c r="C90" s="11">
        <v>201585</v>
      </c>
      <c r="D90" s="11" t="s">
        <v>271</v>
      </c>
      <c r="E90" s="11" t="str">
        <f>MID(Table2[[#This Row],[تاريخ تاييد]],1,7)</f>
        <v>1403/06</v>
      </c>
      <c r="F90" s="11" t="str">
        <f>MID(Table2[[#This Row],[تاريخ تاييد]],6,2)</f>
        <v>06</v>
      </c>
      <c r="G90" s="11" t="s">
        <v>618</v>
      </c>
      <c r="H90" s="11" t="str">
        <f>VLOOKUP(Table2[[#This Row],[شماره فني]],Sheet7!A:C,3,0)</f>
        <v>NOD</v>
      </c>
      <c r="I90" s="11" t="str">
        <f>VLOOKUP(Table2[[#This Row],[شماره فني]],Sheet7!A:B,2,0)</f>
        <v>NBCM TARA</v>
      </c>
      <c r="J90" s="11" t="s">
        <v>285</v>
      </c>
      <c r="K90" s="11" t="s">
        <v>336</v>
      </c>
      <c r="L90" s="11" t="s">
        <v>261</v>
      </c>
      <c r="M90" s="11" t="s">
        <v>261</v>
      </c>
      <c r="N90" s="11" t="s">
        <v>261</v>
      </c>
      <c r="O90" s="11" t="s">
        <v>261</v>
      </c>
      <c r="P90" s="11" t="s">
        <v>261</v>
      </c>
      <c r="Q90" s="11" t="s">
        <v>261</v>
      </c>
      <c r="R90" s="11" t="s">
        <v>961</v>
      </c>
      <c r="S90" s="11" t="s">
        <v>261</v>
      </c>
      <c r="T90" s="11" t="s">
        <v>261</v>
      </c>
      <c r="U90" s="11" t="s">
        <v>552</v>
      </c>
      <c r="V90" s="11" t="s">
        <v>784</v>
      </c>
      <c r="W90" s="11">
        <v>1</v>
      </c>
      <c r="X90" s="11" t="s">
        <v>15</v>
      </c>
      <c r="Y90" s="11" t="s">
        <v>261</v>
      </c>
      <c r="Z90" s="11" t="s">
        <v>261</v>
      </c>
      <c r="AA90" s="11" t="s">
        <v>261</v>
      </c>
      <c r="AB90" s="11" t="s">
        <v>583</v>
      </c>
      <c r="AC90" s="11" t="s">
        <v>261</v>
      </c>
      <c r="AD90" s="11" t="s">
        <v>261</v>
      </c>
      <c r="AE90" s="11" t="s">
        <v>551</v>
      </c>
      <c r="AF90" s="12" t="s">
        <v>261</v>
      </c>
      <c r="AG90" s="11" t="s">
        <v>261</v>
      </c>
    </row>
    <row r="91" spans="1:33" ht="30" hidden="1" x14ac:dyDescent="0.25">
      <c r="A91" s="11">
        <v>1</v>
      </c>
      <c r="B91" s="3" t="s">
        <v>261</v>
      </c>
      <c r="C91" s="11">
        <v>201627</v>
      </c>
      <c r="D91" s="11" t="s">
        <v>272</v>
      </c>
      <c r="E91" s="11" t="str">
        <f>MID(Table2[[#This Row],[تاريخ تاييد]],1,7)</f>
        <v>1403/06</v>
      </c>
      <c r="F91" s="11" t="str">
        <f>MID(Table2[[#This Row],[تاريخ تاييد]],6,2)</f>
        <v>06</v>
      </c>
      <c r="G91" s="11" t="s">
        <v>618</v>
      </c>
      <c r="H91" s="11" t="str">
        <f>VLOOKUP(Table2[[#This Row],[شماره فني]],Sheet7!A:C,3,0)</f>
        <v>NOD</v>
      </c>
      <c r="I91" s="11" t="str">
        <f>VLOOKUP(Table2[[#This Row],[شماره فني]],Sheet7!A:B,2,0)</f>
        <v>NBCM TARA SAL</v>
      </c>
      <c r="J91" s="11" t="s">
        <v>286</v>
      </c>
      <c r="K91" s="11" t="s">
        <v>730</v>
      </c>
      <c r="L91" s="11" t="s">
        <v>22</v>
      </c>
      <c r="M91" s="11" t="s">
        <v>345</v>
      </c>
      <c r="N91" s="11" t="s">
        <v>261</v>
      </c>
      <c r="O91" s="11" t="s">
        <v>261</v>
      </c>
      <c r="P91" s="11" t="s">
        <v>261</v>
      </c>
      <c r="Q91" s="11" t="s">
        <v>261</v>
      </c>
      <c r="R91" s="11" t="s">
        <v>349</v>
      </c>
      <c r="S91" s="11" t="s">
        <v>261</v>
      </c>
      <c r="T91" s="11" t="s">
        <v>799</v>
      </c>
      <c r="U91" s="11" t="s">
        <v>797</v>
      </c>
      <c r="V91" s="11" t="s">
        <v>561</v>
      </c>
      <c r="W91" s="11">
        <v>1</v>
      </c>
      <c r="X91" s="11" t="s">
        <v>95</v>
      </c>
      <c r="Y91" s="11" t="s">
        <v>261</v>
      </c>
      <c r="Z91" s="11" t="s">
        <v>337</v>
      </c>
      <c r="AA91" s="11" t="s">
        <v>66</v>
      </c>
      <c r="AB91" s="11" t="s">
        <v>28</v>
      </c>
      <c r="AC91" s="11" t="s">
        <v>261</v>
      </c>
      <c r="AD91" s="11" t="s">
        <v>261</v>
      </c>
      <c r="AE91" s="11" t="s">
        <v>551</v>
      </c>
      <c r="AF91" s="12" t="s">
        <v>261</v>
      </c>
      <c r="AG91" s="11" t="s">
        <v>261</v>
      </c>
    </row>
    <row r="92" spans="1:33" ht="30" hidden="1" x14ac:dyDescent="0.25">
      <c r="A92" s="11">
        <v>1</v>
      </c>
      <c r="B92" s="3" t="s">
        <v>261</v>
      </c>
      <c r="C92" s="11">
        <v>201705</v>
      </c>
      <c r="D92" s="11" t="s">
        <v>293</v>
      </c>
      <c r="E92" s="11" t="str">
        <f>MID(Table2[[#This Row],[تاريخ تاييد]],1,7)</f>
        <v>1403/06</v>
      </c>
      <c r="F92" s="11" t="str">
        <f>MID(Table2[[#This Row],[تاريخ تاييد]],6,2)</f>
        <v>06</v>
      </c>
      <c r="G92" s="11" t="s">
        <v>618</v>
      </c>
      <c r="H92" s="11" t="str">
        <f>VLOOKUP(Table2[[#This Row],[شماره فني]],Sheet7!A:C,3,0)</f>
        <v>جلو آمپر</v>
      </c>
      <c r="I92" s="11" t="str">
        <f>VLOOKUP(Table2[[#This Row],[شماره فني]],Sheet7!A:B,2,0)</f>
        <v>جلو آمپرSOREN TC 85 گانه</v>
      </c>
      <c r="J92" s="11" t="s">
        <v>298</v>
      </c>
      <c r="K92" s="11" t="s">
        <v>233</v>
      </c>
      <c r="L92" s="11" t="s">
        <v>22</v>
      </c>
      <c r="M92" s="11" t="s">
        <v>337</v>
      </c>
      <c r="N92" s="11" t="s">
        <v>261</v>
      </c>
      <c r="O92" s="11" t="s">
        <v>261</v>
      </c>
      <c r="P92" s="11" t="s">
        <v>261</v>
      </c>
      <c r="Q92" s="11" t="s">
        <v>261</v>
      </c>
      <c r="R92" s="11" t="s">
        <v>352</v>
      </c>
      <c r="S92" s="11" t="s">
        <v>261</v>
      </c>
      <c r="T92" s="11" t="s">
        <v>978</v>
      </c>
      <c r="U92" s="11" t="s">
        <v>351</v>
      </c>
      <c r="V92" s="11" t="s">
        <v>561</v>
      </c>
      <c r="W92" s="11">
        <v>1</v>
      </c>
      <c r="X92" s="11" t="s">
        <v>32</v>
      </c>
      <c r="Y92" s="11" t="s">
        <v>261</v>
      </c>
      <c r="Z92" s="11" t="s">
        <v>337</v>
      </c>
      <c r="AA92" s="11" t="s">
        <v>66</v>
      </c>
      <c r="AB92" s="11" t="s">
        <v>28</v>
      </c>
      <c r="AC92" s="11" t="s">
        <v>261</v>
      </c>
      <c r="AD92" s="11" t="s">
        <v>261</v>
      </c>
      <c r="AE92" s="11" t="s">
        <v>551</v>
      </c>
      <c r="AF92" s="12" t="s">
        <v>261</v>
      </c>
      <c r="AG92" s="11" t="s">
        <v>348</v>
      </c>
    </row>
    <row r="93" spans="1:33" ht="30" hidden="1" x14ac:dyDescent="0.25">
      <c r="A93" s="11">
        <v>1</v>
      </c>
      <c r="B93" s="3" t="s">
        <v>261</v>
      </c>
      <c r="C93" s="11">
        <v>201761</v>
      </c>
      <c r="D93" s="11" t="s">
        <v>294</v>
      </c>
      <c r="E93" s="11" t="str">
        <f>MID(Table2[[#This Row],[تاريخ تاييد]],1,7)</f>
        <v>1403/06</v>
      </c>
      <c r="F93" s="11" t="str">
        <f>MID(Table2[[#This Row],[تاريخ تاييد]],6,2)</f>
        <v>06</v>
      </c>
      <c r="G93" s="11" t="s">
        <v>618</v>
      </c>
      <c r="H93" s="11" t="str">
        <f>VLOOKUP(Table2[[#This Row],[شماره فني]],Sheet7!A:C,3,0)</f>
        <v>جلو آمپر</v>
      </c>
      <c r="I93" s="11" t="str">
        <f>VLOOKUP(Table2[[#This Row],[شماره فني]],Sheet7!A:B,2,0)</f>
        <v>جلو آمپر207 اتوماتیک85 گانه</v>
      </c>
      <c r="J93" s="11" t="s">
        <v>299</v>
      </c>
      <c r="K93" s="11" t="s">
        <v>233</v>
      </c>
      <c r="L93" s="11" t="s">
        <v>22</v>
      </c>
      <c r="M93" s="11" t="s">
        <v>337</v>
      </c>
      <c r="N93" s="11" t="s">
        <v>261</v>
      </c>
      <c r="O93" s="11" t="s">
        <v>261</v>
      </c>
      <c r="P93" s="11" t="s">
        <v>261</v>
      </c>
      <c r="Q93" s="11" t="s">
        <v>261</v>
      </c>
      <c r="R93" s="11" t="s">
        <v>340</v>
      </c>
      <c r="S93" s="11" t="s">
        <v>261</v>
      </c>
      <c r="T93" s="11" t="s">
        <v>803</v>
      </c>
      <c r="U93" s="11" t="s">
        <v>797</v>
      </c>
      <c r="V93" s="11" t="s">
        <v>561</v>
      </c>
      <c r="W93" s="11">
        <v>1</v>
      </c>
      <c r="X93" s="11" t="s">
        <v>31</v>
      </c>
      <c r="Y93" s="11" t="s">
        <v>261</v>
      </c>
      <c r="Z93" s="11" t="s">
        <v>337</v>
      </c>
      <c r="AA93" s="11" t="s">
        <v>66</v>
      </c>
      <c r="AB93" s="11" t="s">
        <v>28</v>
      </c>
      <c r="AC93" s="11" t="s">
        <v>261</v>
      </c>
      <c r="AD93" s="11" t="s">
        <v>261</v>
      </c>
      <c r="AE93" s="11" t="s">
        <v>551</v>
      </c>
      <c r="AF93" s="12" t="s">
        <v>261</v>
      </c>
      <c r="AG93" s="11" t="s">
        <v>261</v>
      </c>
    </row>
    <row r="94" spans="1:33" ht="30" hidden="1" x14ac:dyDescent="0.25">
      <c r="A94" s="11">
        <v>1</v>
      </c>
      <c r="B94" s="3" t="s">
        <v>261</v>
      </c>
      <c r="C94" s="11">
        <v>201762</v>
      </c>
      <c r="D94" s="11" t="s">
        <v>294</v>
      </c>
      <c r="E94" s="11" t="str">
        <f>MID(Table2[[#This Row],[تاريخ تاييد]],1,7)</f>
        <v>1403/06</v>
      </c>
      <c r="F94" s="11" t="str">
        <f>MID(Table2[[#This Row],[تاريخ تاييد]],6,2)</f>
        <v>06</v>
      </c>
      <c r="G94" s="11" t="s">
        <v>618</v>
      </c>
      <c r="H94" s="11" t="str">
        <f>VLOOKUP(Table2[[#This Row],[شماره فني]],Sheet7!A:C,3,0)</f>
        <v>جلو آمپر</v>
      </c>
      <c r="I94" s="11" t="str">
        <f>VLOOKUP(Table2[[#This Row],[شماره فني]],Sheet7!A:B,2,0)</f>
        <v>جلو آمپر207  معمولی85 گانه</v>
      </c>
      <c r="J94" s="11" t="s">
        <v>300</v>
      </c>
      <c r="K94" s="11" t="s">
        <v>231</v>
      </c>
      <c r="L94" s="11" t="s">
        <v>22</v>
      </c>
      <c r="M94" s="11" t="s">
        <v>337</v>
      </c>
      <c r="N94" s="11" t="s">
        <v>261</v>
      </c>
      <c r="O94" s="11" t="s">
        <v>261</v>
      </c>
      <c r="P94" s="11" t="s">
        <v>261</v>
      </c>
      <c r="Q94" s="11" t="s">
        <v>261</v>
      </c>
      <c r="R94" s="11" t="s">
        <v>338</v>
      </c>
      <c r="S94" s="11" t="s">
        <v>339</v>
      </c>
      <c r="T94" s="11" t="s">
        <v>231</v>
      </c>
      <c r="U94" s="11" t="s">
        <v>797</v>
      </c>
      <c r="V94" s="11" t="s">
        <v>564</v>
      </c>
      <c r="W94" s="11">
        <v>1</v>
      </c>
      <c r="X94" s="11" t="s">
        <v>30</v>
      </c>
      <c r="Y94" s="11" t="s">
        <v>261</v>
      </c>
      <c r="Z94" s="11" t="s">
        <v>337</v>
      </c>
      <c r="AA94" s="11" t="s">
        <v>66</v>
      </c>
      <c r="AB94" s="11" t="s">
        <v>29</v>
      </c>
      <c r="AC94" s="11" t="s">
        <v>261</v>
      </c>
      <c r="AD94" s="11" t="s">
        <v>261</v>
      </c>
      <c r="AE94" s="11" t="s">
        <v>551</v>
      </c>
      <c r="AF94" s="12" t="s">
        <v>261</v>
      </c>
      <c r="AG94" s="11" t="s">
        <v>261</v>
      </c>
    </row>
    <row r="95" spans="1:33" ht="30" hidden="1" x14ac:dyDescent="0.25">
      <c r="A95" s="11">
        <v>1</v>
      </c>
      <c r="B95" s="3" t="s">
        <v>261</v>
      </c>
      <c r="C95" s="11">
        <v>201764</v>
      </c>
      <c r="D95" s="11" t="s">
        <v>294</v>
      </c>
      <c r="E95" s="11" t="str">
        <f>MID(Table2[[#This Row],[تاريخ تاييد]],1,7)</f>
        <v>1403/06</v>
      </c>
      <c r="F95" s="11" t="str">
        <f>MID(Table2[[#This Row],[تاريخ تاييد]],6,2)</f>
        <v>06</v>
      </c>
      <c r="G95" s="11" t="s">
        <v>618</v>
      </c>
      <c r="H95" s="11" t="str">
        <f>VLOOKUP(Table2[[#This Row],[شماره فني]],Sheet7!A:C,3,0)</f>
        <v>جلو آمپر</v>
      </c>
      <c r="I95" s="11" t="str">
        <f>VLOOKUP(Table2[[#This Row],[شماره فني]],Sheet7!A:B,2,0)</f>
        <v>جلو آمپر دنا ST</v>
      </c>
      <c r="J95" s="11" t="s">
        <v>300</v>
      </c>
      <c r="K95" s="11" t="s">
        <v>231</v>
      </c>
      <c r="L95" s="11" t="s">
        <v>22</v>
      </c>
      <c r="M95" s="11" t="s">
        <v>337</v>
      </c>
      <c r="N95" s="11" t="s">
        <v>261</v>
      </c>
      <c r="O95" s="11" t="s">
        <v>261</v>
      </c>
      <c r="P95" s="11" t="s">
        <v>261</v>
      </c>
      <c r="Q95" s="11" t="s">
        <v>261</v>
      </c>
      <c r="R95" s="11" t="s">
        <v>342</v>
      </c>
      <c r="S95" s="11" t="s">
        <v>343</v>
      </c>
      <c r="T95" s="11" t="s">
        <v>817</v>
      </c>
      <c r="U95" s="11" t="s">
        <v>809</v>
      </c>
      <c r="V95" s="11" t="s">
        <v>564</v>
      </c>
      <c r="W95" s="11">
        <v>1</v>
      </c>
      <c r="X95" s="11" t="s">
        <v>96</v>
      </c>
      <c r="Y95" s="11" t="s">
        <v>261</v>
      </c>
      <c r="Z95" s="11" t="s">
        <v>337</v>
      </c>
      <c r="AA95" s="11" t="s">
        <v>66</v>
      </c>
      <c r="AB95" s="11" t="s">
        <v>29</v>
      </c>
      <c r="AC95" s="11" t="s">
        <v>261</v>
      </c>
      <c r="AD95" s="11" t="s">
        <v>261</v>
      </c>
      <c r="AE95" s="11" t="s">
        <v>551</v>
      </c>
      <c r="AF95" s="12" t="s">
        <v>261</v>
      </c>
      <c r="AG95" s="11" t="s">
        <v>261</v>
      </c>
    </row>
    <row r="96" spans="1:33" ht="30" hidden="1" x14ac:dyDescent="0.25">
      <c r="A96" s="11">
        <v>1</v>
      </c>
      <c r="B96" s="3" t="s">
        <v>261</v>
      </c>
      <c r="C96" s="11">
        <v>201904</v>
      </c>
      <c r="D96" s="11" t="s">
        <v>295</v>
      </c>
      <c r="E96" s="11" t="str">
        <f>MID(Table2[[#This Row],[تاريخ تاييد]],1,7)</f>
        <v>1403/07</v>
      </c>
      <c r="F96" s="11" t="str">
        <f>MID(Table2[[#This Row],[تاريخ تاييد]],6,2)</f>
        <v>07</v>
      </c>
      <c r="G96" s="11" t="s">
        <v>618</v>
      </c>
      <c r="H96" s="11" t="str">
        <f>VLOOKUP(Table2[[#This Row],[شماره فني]],Sheet7!A:C,3,0)</f>
        <v>NOD</v>
      </c>
      <c r="I96" s="11" t="str">
        <f>VLOOKUP(Table2[[#This Row],[شماره فني]],Sheet7!A:B,2,0)</f>
        <v>NBCM TARA SAL</v>
      </c>
      <c r="J96" s="11" t="s">
        <v>301</v>
      </c>
      <c r="K96" s="11" t="s">
        <v>334</v>
      </c>
      <c r="L96" s="11" t="s">
        <v>22</v>
      </c>
      <c r="M96" s="11" t="s">
        <v>345</v>
      </c>
      <c r="N96" s="11" t="s">
        <v>261</v>
      </c>
      <c r="O96" s="11" t="s">
        <v>261</v>
      </c>
      <c r="P96" s="11" t="s">
        <v>261</v>
      </c>
      <c r="Q96" s="11" t="s">
        <v>261</v>
      </c>
      <c r="R96" s="11" t="s">
        <v>346</v>
      </c>
      <c r="S96" s="11" t="s">
        <v>77</v>
      </c>
      <c r="T96" s="11" t="s">
        <v>817</v>
      </c>
      <c r="U96" s="11" t="s">
        <v>824</v>
      </c>
      <c r="V96" s="11" t="s">
        <v>565</v>
      </c>
      <c r="W96" s="11">
        <v>1</v>
      </c>
      <c r="X96" s="11" t="s">
        <v>95</v>
      </c>
      <c r="Y96" s="11" t="s">
        <v>261</v>
      </c>
      <c r="Z96" s="11" t="s">
        <v>337</v>
      </c>
      <c r="AA96" s="11" t="s">
        <v>66</v>
      </c>
      <c r="AB96" s="11" t="s">
        <v>27</v>
      </c>
      <c r="AC96" s="11" t="s">
        <v>986</v>
      </c>
      <c r="AD96" s="11" t="s">
        <v>261</v>
      </c>
      <c r="AE96" s="11" t="s">
        <v>551</v>
      </c>
      <c r="AF96" s="12" t="s">
        <v>261</v>
      </c>
      <c r="AG96" s="11" t="s">
        <v>348</v>
      </c>
    </row>
    <row r="97" spans="1:33" ht="78.75" hidden="1" customHeight="1" x14ac:dyDescent="0.25">
      <c r="A97" s="11">
        <v>1</v>
      </c>
      <c r="B97" s="3" t="s">
        <v>261</v>
      </c>
      <c r="C97" s="11">
        <v>201985</v>
      </c>
      <c r="D97" s="11" t="s">
        <v>296</v>
      </c>
      <c r="E97" s="11" t="str">
        <f>MID(Table2[[#This Row],[تاريخ تاييد]],1,7)</f>
        <v>1403/07</v>
      </c>
      <c r="F97" s="11" t="str">
        <f>MID(Table2[[#This Row],[تاريخ تاييد]],6,2)</f>
        <v>07</v>
      </c>
      <c r="G97" s="11" t="s">
        <v>618</v>
      </c>
      <c r="H97" s="11" t="str">
        <f>VLOOKUP(Table2[[#This Row],[شماره فني]],Sheet7!A:C,3,0)</f>
        <v>جلو آمپر</v>
      </c>
      <c r="I97" s="11" t="str">
        <f>VLOOKUP(Table2[[#This Row],[شماره فني]],Sheet7!A:B,2,0)</f>
        <v>جلو آمپر دنا اتوماتیک</v>
      </c>
      <c r="J97" s="11" t="s">
        <v>302</v>
      </c>
      <c r="K97" s="11" t="s">
        <v>334</v>
      </c>
      <c r="L97" s="11" t="s">
        <v>22</v>
      </c>
      <c r="M97" s="11" t="s">
        <v>337</v>
      </c>
      <c r="N97" s="11" t="s">
        <v>261</v>
      </c>
      <c r="O97" s="11" t="s">
        <v>261</v>
      </c>
      <c r="P97" s="11" t="s">
        <v>261</v>
      </c>
      <c r="Q97" s="11" t="s">
        <v>261</v>
      </c>
      <c r="R97" s="11" t="s">
        <v>344</v>
      </c>
      <c r="S97" s="11" t="s">
        <v>814</v>
      </c>
      <c r="T97" s="11" t="s">
        <v>983</v>
      </c>
      <c r="U97" s="11" t="s">
        <v>813</v>
      </c>
      <c r="V97" s="11" t="s">
        <v>571</v>
      </c>
      <c r="W97" s="11">
        <v>1</v>
      </c>
      <c r="X97" s="11" t="s">
        <v>21</v>
      </c>
      <c r="Y97" s="11" t="s">
        <v>261</v>
      </c>
      <c r="Z97" s="11" t="s">
        <v>337</v>
      </c>
      <c r="AA97" s="11" t="s">
        <v>66</v>
      </c>
      <c r="AB97" s="11" t="s">
        <v>26</v>
      </c>
      <c r="AC97" s="11" t="s">
        <v>261</v>
      </c>
      <c r="AD97" s="11" t="s">
        <v>583</v>
      </c>
      <c r="AE97" s="11" t="s">
        <v>551</v>
      </c>
      <c r="AF97" s="12" t="s">
        <v>261</v>
      </c>
      <c r="AG97" s="11" t="s">
        <v>348</v>
      </c>
    </row>
    <row r="98" spans="1:33" ht="55.5" hidden="1" customHeight="1" x14ac:dyDescent="0.25">
      <c r="A98" s="11">
        <v>1</v>
      </c>
      <c r="B98" s="3" t="s">
        <v>261</v>
      </c>
      <c r="C98" s="11">
        <v>201986</v>
      </c>
      <c r="D98" s="11" t="s">
        <v>296</v>
      </c>
      <c r="E98" s="11" t="str">
        <f>MID(Table2[[#This Row],[تاريخ تاييد]],1,7)</f>
        <v>1403/07</v>
      </c>
      <c r="F98" s="11" t="str">
        <f>MID(Table2[[#This Row],[تاريخ تاييد]],6,2)</f>
        <v>07</v>
      </c>
      <c r="G98" s="11" t="s">
        <v>618</v>
      </c>
      <c r="H98" s="11" t="str">
        <f>VLOOKUP(Table2[[#This Row],[شماره فني]],Sheet7!A:C,3,0)</f>
        <v>جلو آمپر</v>
      </c>
      <c r="I98" s="11" t="str">
        <f>VLOOKUP(Table2[[#This Row],[شماره فني]],Sheet7!A:B,2,0)</f>
        <v>جلو آمپر تارا اتوماتیک</v>
      </c>
      <c r="J98" s="11" t="s">
        <v>303</v>
      </c>
      <c r="K98" s="11" t="s">
        <v>231</v>
      </c>
      <c r="L98" s="11" t="s">
        <v>22</v>
      </c>
      <c r="M98" s="11" t="s">
        <v>337</v>
      </c>
      <c r="N98" s="11" t="s">
        <v>261</v>
      </c>
      <c r="O98" s="11" t="s">
        <v>261</v>
      </c>
      <c r="P98" s="11" t="s">
        <v>261</v>
      </c>
      <c r="Q98" s="11" t="s">
        <v>261</v>
      </c>
      <c r="R98" s="11" t="s">
        <v>341</v>
      </c>
      <c r="S98" s="11" t="s">
        <v>159</v>
      </c>
      <c r="T98" s="11" t="s">
        <v>231</v>
      </c>
      <c r="U98" s="11" t="s">
        <v>797</v>
      </c>
      <c r="V98" s="11" t="s">
        <v>561</v>
      </c>
      <c r="W98" s="11">
        <v>1</v>
      </c>
      <c r="X98" s="11" t="s">
        <v>20</v>
      </c>
      <c r="Y98" s="11" t="s">
        <v>261</v>
      </c>
      <c r="Z98" s="11" t="s">
        <v>337</v>
      </c>
      <c r="AA98" s="11" t="s">
        <v>66</v>
      </c>
      <c r="AB98" s="11" t="s">
        <v>28</v>
      </c>
      <c r="AC98" s="11" t="s">
        <v>261</v>
      </c>
      <c r="AD98" s="11" t="s">
        <v>261</v>
      </c>
      <c r="AE98" s="11" t="s">
        <v>551</v>
      </c>
      <c r="AF98" s="12" t="s">
        <v>261</v>
      </c>
      <c r="AG98" s="11" t="s">
        <v>261</v>
      </c>
    </row>
    <row r="99" spans="1:33" ht="45" hidden="1" x14ac:dyDescent="0.25">
      <c r="A99" s="11">
        <v>1</v>
      </c>
      <c r="B99" s="3" t="s">
        <v>261</v>
      </c>
      <c r="C99" s="11">
        <v>202103</v>
      </c>
      <c r="D99" s="11" t="s">
        <v>297</v>
      </c>
      <c r="E99" s="11" t="str">
        <f>MID(Table2[[#This Row],[تاريخ تاييد]],1,7)</f>
        <v>1403/07</v>
      </c>
      <c r="F99" s="11" t="str">
        <f>MID(Table2[[#This Row],[تاريخ تاييد]],6,2)</f>
        <v>07</v>
      </c>
      <c r="G99" s="11" t="s">
        <v>618</v>
      </c>
      <c r="H99" s="11" t="str">
        <f>VLOOKUP(Table2[[#This Row],[شماره فني]],Sheet7!A:C,3,0)</f>
        <v>NOD</v>
      </c>
      <c r="I99" s="11" t="str">
        <f>VLOOKUP(Table2[[#This Row],[شماره فني]],Sheet7!A:B,2,0)</f>
        <v>NBCM TARA SAL</v>
      </c>
      <c r="J99" s="11" t="s">
        <v>304</v>
      </c>
      <c r="K99" s="11" t="s">
        <v>336</v>
      </c>
      <c r="L99" s="11" t="s">
        <v>261</v>
      </c>
      <c r="M99" s="11" t="s">
        <v>261</v>
      </c>
      <c r="N99" s="11" t="s">
        <v>261</v>
      </c>
      <c r="O99" s="11" t="s">
        <v>261</v>
      </c>
      <c r="P99" s="11" t="s">
        <v>261</v>
      </c>
      <c r="Q99" s="11" t="s">
        <v>261</v>
      </c>
      <c r="R99" s="11" t="s">
        <v>961</v>
      </c>
      <c r="S99" s="11" t="s">
        <v>261</v>
      </c>
      <c r="T99" s="11" t="s">
        <v>261</v>
      </c>
      <c r="U99" s="11" t="s">
        <v>552</v>
      </c>
      <c r="V99" s="11" t="s">
        <v>784</v>
      </c>
      <c r="W99" s="11">
        <v>1</v>
      </c>
      <c r="X99" s="11" t="s">
        <v>95</v>
      </c>
      <c r="Y99" s="11" t="s">
        <v>261</v>
      </c>
      <c r="Z99" s="11" t="s">
        <v>261</v>
      </c>
      <c r="AA99" s="11" t="s">
        <v>261</v>
      </c>
      <c r="AB99" s="11" t="s">
        <v>583</v>
      </c>
      <c r="AC99" s="11" t="s">
        <v>261</v>
      </c>
      <c r="AD99" s="11" t="s">
        <v>261</v>
      </c>
      <c r="AE99" s="11" t="s">
        <v>551</v>
      </c>
      <c r="AF99" s="12" t="s">
        <v>261</v>
      </c>
      <c r="AG99" s="11" t="s">
        <v>261</v>
      </c>
    </row>
    <row r="100" spans="1:33" ht="45" hidden="1" x14ac:dyDescent="0.25">
      <c r="A100" s="11">
        <v>1</v>
      </c>
      <c r="B100" s="3" t="s">
        <v>261</v>
      </c>
      <c r="C100" s="11">
        <v>202109</v>
      </c>
      <c r="D100" s="11" t="s">
        <v>297</v>
      </c>
      <c r="E100" s="11" t="str">
        <f>MID(Table2[[#This Row],[تاريخ تاييد]],1,7)</f>
        <v>1403/07</v>
      </c>
      <c r="F100" s="11" t="str">
        <f>MID(Table2[[#This Row],[تاريخ تاييد]],6,2)</f>
        <v>07</v>
      </c>
      <c r="G100" s="11" t="s">
        <v>618</v>
      </c>
      <c r="H100" s="11" t="str">
        <f>VLOOKUP(Table2[[#This Row],[شماره فني]],Sheet7!A:C,3,0)</f>
        <v>کلید شیشه بالابر</v>
      </c>
      <c r="I100" s="11" t="str">
        <f>VLOOKUP(Table2[[#This Row],[شماره فني]],Sheet7!A:B,2,0)</f>
        <v>کلید شیشه بالابر جلو چپ سورن</v>
      </c>
      <c r="J100" s="11" t="s">
        <v>305</v>
      </c>
      <c r="K100" s="11" t="s">
        <v>307</v>
      </c>
      <c r="L100" s="11" t="s">
        <v>261</v>
      </c>
      <c r="M100" s="11" t="s">
        <v>261</v>
      </c>
      <c r="N100" s="11" t="s">
        <v>261</v>
      </c>
      <c r="O100" s="11" t="s">
        <v>261</v>
      </c>
      <c r="P100" s="11" t="s">
        <v>261</v>
      </c>
      <c r="Q100" s="11" t="s">
        <v>261</v>
      </c>
      <c r="R100" s="11" t="s">
        <v>961</v>
      </c>
      <c r="S100" s="11" t="s">
        <v>261</v>
      </c>
      <c r="T100" s="11" t="s">
        <v>261</v>
      </c>
      <c r="U100" s="11" t="s">
        <v>552</v>
      </c>
      <c r="V100" s="11" t="s">
        <v>784</v>
      </c>
      <c r="W100" s="11">
        <v>3</v>
      </c>
      <c r="X100" s="11" t="s">
        <v>306</v>
      </c>
      <c r="Y100" s="11" t="s">
        <v>261</v>
      </c>
      <c r="Z100" s="11" t="s">
        <v>261</v>
      </c>
      <c r="AA100" s="11" t="s">
        <v>261</v>
      </c>
      <c r="AB100" s="11" t="s">
        <v>583</v>
      </c>
      <c r="AC100" s="11" t="s">
        <v>261</v>
      </c>
      <c r="AD100" s="11" t="s">
        <v>261</v>
      </c>
      <c r="AE100" s="11" t="s">
        <v>551</v>
      </c>
      <c r="AF100" s="12" t="s">
        <v>261</v>
      </c>
      <c r="AG100" s="11" t="s">
        <v>261</v>
      </c>
    </row>
    <row r="101" spans="1:33" ht="30" hidden="1" x14ac:dyDescent="0.25">
      <c r="A101" s="11">
        <v>1</v>
      </c>
      <c r="B101" s="3" t="s">
        <v>261</v>
      </c>
      <c r="C101" s="11">
        <v>202208</v>
      </c>
      <c r="D101" s="11" t="s">
        <v>308</v>
      </c>
      <c r="E101" s="11" t="str">
        <f>MID(Table2[[#This Row],[تاريخ تاييد]],1,7)</f>
        <v>1403/07</v>
      </c>
      <c r="F101" s="11" t="str">
        <f>MID(Table2[[#This Row],[تاريخ تاييد]],6,2)</f>
        <v>07</v>
      </c>
      <c r="G101" s="11" t="s">
        <v>618</v>
      </c>
      <c r="H101" s="11" t="str">
        <f>VLOOKUP(Table2[[#This Row],[شماره فني]],Sheet7!A:C,3,0)</f>
        <v>NOD</v>
      </c>
      <c r="I101" s="11" t="str">
        <f>VLOOKUP(Table2[[#This Row],[شماره فني]],Sheet7!A:B,2,0)</f>
        <v>NBCM TARA SAL</v>
      </c>
      <c r="J101" s="11" t="s">
        <v>316</v>
      </c>
      <c r="K101" s="11" t="s">
        <v>730</v>
      </c>
      <c r="L101" s="11" t="s">
        <v>22</v>
      </c>
      <c r="M101" s="11" t="s">
        <v>345</v>
      </c>
      <c r="N101" s="11" t="s">
        <v>261</v>
      </c>
      <c r="O101" s="11" t="s">
        <v>261</v>
      </c>
      <c r="P101" s="11" t="s">
        <v>261</v>
      </c>
      <c r="Q101" s="11" t="s">
        <v>261</v>
      </c>
      <c r="R101" s="11" t="s">
        <v>358</v>
      </c>
      <c r="S101" s="11" t="s">
        <v>261</v>
      </c>
      <c r="T101" s="11" t="s">
        <v>799</v>
      </c>
      <c r="U101" s="11" t="s">
        <v>824</v>
      </c>
      <c r="V101" s="11" t="s">
        <v>561</v>
      </c>
      <c r="W101" s="11">
        <v>1</v>
      </c>
      <c r="X101" s="11" t="s">
        <v>95</v>
      </c>
      <c r="Y101" s="11" t="s">
        <v>261</v>
      </c>
      <c r="Z101" s="11" t="s">
        <v>353</v>
      </c>
      <c r="AA101" s="11" t="s">
        <v>66</v>
      </c>
      <c r="AB101" s="11" t="s">
        <v>28</v>
      </c>
      <c r="AC101" s="11" t="s">
        <v>261</v>
      </c>
      <c r="AD101" s="11" t="s">
        <v>261</v>
      </c>
      <c r="AE101" s="11" t="s">
        <v>551</v>
      </c>
      <c r="AF101" s="12" t="s">
        <v>261</v>
      </c>
      <c r="AG101" s="11" t="s">
        <v>261</v>
      </c>
    </row>
    <row r="102" spans="1:33" ht="30" hidden="1" x14ac:dyDescent="0.25">
      <c r="A102" s="11">
        <v>1</v>
      </c>
      <c r="B102" s="3" t="s">
        <v>261</v>
      </c>
      <c r="C102" s="11">
        <v>202209</v>
      </c>
      <c r="D102" s="11" t="s">
        <v>308</v>
      </c>
      <c r="E102" s="11" t="str">
        <f>MID(Table2[[#This Row],[تاريخ تاييد]],1,7)</f>
        <v>1403/07</v>
      </c>
      <c r="F102" s="11" t="str">
        <f>MID(Table2[[#This Row],[تاريخ تاييد]],6,2)</f>
        <v>07</v>
      </c>
      <c r="G102" s="11" t="s">
        <v>618</v>
      </c>
      <c r="H102" s="11" t="str">
        <f>VLOOKUP(Table2[[#This Row],[شماره فني]],Sheet7!A:C,3,0)</f>
        <v>جلو آمپر</v>
      </c>
      <c r="I102" s="11" t="str">
        <f>VLOOKUP(Table2[[#This Row],[شماره فني]],Sheet7!A:B,2,0)</f>
        <v>جلو آمپر دنا اتوماتیک</v>
      </c>
      <c r="J102" s="11" t="s">
        <v>317</v>
      </c>
      <c r="K102" s="11" t="s">
        <v>334</v>
      </c>
      <c r="L102" s="11" t="s">
        <v>22</v>
      </c>
      <c r="M102" s="11" t="s">
        <v>345</v>
      </c>
      <c r="N102" s="11" t="s">
        <v>261</v>
      </c>
      <c r="O102" s="11" t="s">
        <v>261</v>
      </c>
      <c r="P102" s="11" t="s">
        <v>261</v>
      </c>
      <c r="Q102" s="11" t="s">
        <v>261</v>
      </c>
      <c r="R102" s="11" t="s">
        <v>259</v>
      </c>
      <c r="S102" s="11" t="s">
        <v>261</v>
      </c>
      <c r="T102" s="11" t="s">
        <v>801</v>
      </c>
      <c r="U102" s="11" t="s">
        <v>797</v>
      </c>
      <c r="V102" s="11" t="s">
        <v>561</v>
      </c>
      <c r="W102" s="11">
        <v>1</v>
      </c>
      <c r="X102" s="11" t="s">
        <v>21</v>
      </c>
      <c r="Y102" s="11" t="s">
        <v>261</v>
      </c>
      <c r="Z102" s="11" t="s">
        <v>337</v>
      </c>
      <c r="AA102" s="11" t="s">
        <v>66</v>
      </c>
      <c r="AB102" s="11" t="s">
        <v>28</v>
      </c>
      <c r="AC102" s="11" t="s">
        <v>261</v>
      </c>
      <c r="AD102" s="11" t="s">
        <v>261</v>
      </c>
      <c r="AE102" s="11" t="s">
        <v>551</v>
      </c>
      <c r="AF102" s="12" t="s">
        <v>261</v>
      </c>
      <c r="AG102" s="11" t="s">
        <v>261</v>
      </c>
    </row>
    <row r="103" spans="1:33" ht="30" hidden="1" x14ac:dyDescent="0.25">
      <c r="A103" s="11">
        <v>1</v>
      </c>
      <c r="B103" s="3" t="s">
        <v>261</v>
      </c>
      <c r="C103" s="11">
        <v>202369</v>
      </c>
      <c r="D103" s="11" t="s">
        <v>309</v>
      </c>
      <c r="E103" s="11" t="str">
        <f>MID(Table2[[#This Row],[تاريخ تاييد]],1,7)</f>
        <v>1403/07</v>
      </c>
      <c r="F103" s="11" t="str">
        <f>MID(Table2[[#This Row],[تاريخ تاييد]],6,2)</f>
        <v>07</v>
      </c>
      <c r="G103" s="11" t="s">
        <v>618</v>
      </c>
      <c r="H103" s="11" t="str">
        <f>VLOOKUP(Table2[[#This Row],[شماره فني]],Sheet7!A:C,3,0)</f>
        <v>جلو آمپر</v>
      </c>
      <c r="I103" s="11" t="str">
        <f>VLOOKUP(Table2[[#This Row],[شماره فني]],Sheet7!A:B,2,0)</f>
        <v>جلو آمپر دنا اتوماتیک</v>
      </c>
      <c r="J103" s="11" t="s">
        <v>318</v>
      </c>
      <c r="K103" s="11" t="s">
        <v>334</v>
      </c>
      <c r="L103" s="11" t="s">
        <v>22</v>
      </c>
      <c r="M103" s="11" t="s">
        <v>345</v>
      </c>
      <c r="N103" s="11" t="s">
        <v>261</v>
      </c>
      <c r="O103" s="11" t="s">
        <v>261</v>
      </c>
      <c r="P103" s="11" t="s">
        <v>261</v>
      </c>
      <c r="Q103" s="11" t="s">
        <v>261</v>
      </c>
      <c r="R103" s="11" t="s">
        <v>350</v>
      </c>
      <c r="S103" s="11" t="s">
        <v>260</v>
      </c>
      <c r="T103" s="11" t="s">
        <v>808</v>
      </c>
      <c r="U103" s="11" t="s">
        <v>809</v>
      </c>
      <c r="V103" s="11" t="s">
        <v>564</v>
      </c>
      <c r="W103" s="11">
        <v>1</v>
      </c>
      <c r="X103" s="11" t="s">
        <v>21</v>
      </c>
      <c r="Y103" s="11" t="s">
        <v>261</v>
      </c>
      <c r="Z103" s="11" t="s">
        <v>337</v>
      </c>
      <c r="AA103" s="11" t="s">
        <v>66</v>
      </c>
      <c r="AB103" s="11" t="s">
        <v>29</v>
      </c>
      <c r="AC103" s="11" t="s">
        <v>261</v>
      </c>
      <c r="AD103" s="11" t="s">
        <v>261</v>
      </c>
      <c r="AE103" s="11" t="s">
        <v>551</v>
      </c>
      <c r="AF103" s="12" t="s">
        <v>261</v>
      </c>
      <c r="AG103" s="11" t="s">
        <v>348</v>
      </c>
    </row>
    <row r="104" spans="1:33" ht="30" hidden="1" x14ac:dyDescent="0.25">
      <c r="A104" s="11">
        <v>1</v>
      </c>
      <c r="B104" s="3" t="s">
        <v>261</v>
      </c>
      <c r="C104" s="11">
        <v>202425</v>
      </c>
      <c r="D104" s="11" t="s">
        <v>310</v>
      </c>
      <c r="E104" s="11" t="str">
        <f>MID(Table2[[#This Row],[تاريخ تاييد]],1,7)</f>
        <v>1403/07</v>
      </c>
      <c r="F104" s="11" t="str">
        <f>MID(Table2[[#This Row],[تاريخ تاييد]],6,2)</f>
        <v>07</v>
      </c>
      <c r="G104" s="11" t="s">
        <v>618</v>
      </c>
      <c r="H104" s="11" t="str">
        <f>VLOOKUP(Table2[[#This Row],[شماره فني]],Sheet7!A:C,3,0)</f>
        <v>جلو آمپر</v>
      </c>
      <c r="I104" s="11" t="str">
        <f>VLOOKUP(Table2[[#This Row],[شماره فني]],Sheet7!A:B,2,0)</f>
        <v>جلو آمپر تارا اتوماتیک</v>
      </c>
      <c r="J104" s="11" t="s">
        <v>319</v>
      </c>
      <c r="K104" s="11" t="s">
        <v>233</v>
      </c>
      <c r="L104" s="11" t="s">
        <v>22</v>
      </c>
      <c r="M104" s="11" t="s">
        <v>345</v>
      </c>
      <c r="N104" s="11" t="s">
        <v>261</v>
      </c>
      <c r="O104" s="11" t="s">
        <v>261</v>
      </c>
      <c r="P104" s="11" t="s">
        <v>261</v>
      </c>
      <c r="Q104" s="11" t="s">
        <v>261</v>
      </c>
      <c r="R104" s="11" t="s">
        <v>410</v>
      </c>
      <c r="S104" s="11" t="s">
        <v>411</v>
      </c>
      <c r="T104" s="11" t="s">
        <v>817</v>
      </c>
      <c r="U104" s="11" t="s">
        <v>809</v>
      </c>
      <c r="V104" s="11" t="s">
        <v>564</v>
      </c>
      <c r="W104" s="11">
        <v>1</v>
      </c>
      <c r="X104" s="11" t="s">
        <v>20</v>
      </c>
      <c r="Y104" s="11" t="s">
        <v>261</v>
      </c>
      <c r="Z104" s="11" t="s">
        <v>390</v>
      </c>
      <c r="AA104" s="11" t="s">
        <v>389</v>
      </c>
      <c r="AB104" s="11" t="s">
        <v>29</v>
      </c>
      <c r="AC104" s="11" t="s">
        <v>261</v>
      </c>
      <c r="AD104" s="11" t="s">
        <v>261</v>
      </c>
      <c r="AE104" s="11" t="s">
        <v>551</v>
      </c>
      <c r="AF104" s="12" t="s">
        <v>261</v>
      </c>
      <c r="AG104" s="11" t="s">
        <v>261</v>
      </c>
    </row>
    <row r="105" spans="1:33" ht="30" hidden="1" x14ac:dyDescent="0.25">
      <c r="A105" s="11">
        <v>1</v>
      </c>
      <c r="B105" s="3" t="s">
        <v>261</v>
      </c>
      <c r="C105" s="11">
        <v>202477</v>
      </c>
      <c r="D105" s="11" t="s">
        <v>311</v>
      </c>
      <c r="E105" s="11" t="str">
        <f>MID(Table2[[#This Row],[تاريخ تاييد]],1,7)</f>
        <v>1403/07</v>
      </c>
      <c r="F105" s="11" t="str">
        <f>MID(Table2[[#This Row],[تاريخ تاييد]],6,2)</f>
        <v>07</v>
      </c>
      <c r="G105" s="11" t="s">
        <v>618</v>
      </c>
      <c r="H105" s="11" t="str">
        <f>VLOOKUP(Table2[[#This Row],[شماره فني]],Sheet7!A:C,3,0)</f>
        <v>NOD</v>
      </c>
      <c r="I105" s="11" t="str">
        <f>VLOOKUP(Table2[[#This Row],[شماره فني]],Sheet7!A:B,2,0)</f>
        <v>NBCM TARA SAL</v>
      </c>
      <c r="J105" s="11" t="s">
        <v>320</v>
      </c>
      <c r="K105" s="11" t="s">
        <v>334</v>
      </c>
      <c r="L105" s="11" t="s">
        <v>22</v>
      </c>
      <c r="M105" s="11" t="s">
        <v>345</v>
      </c>
      <c r="N105" s="11" t="s">
        <v>261</v>
      </c>
      <c r="O105" s="11" t="s">
        <v>261</v>
      </c>
      <c r="P105" s="11" t="s">
        <v>261</v>
      </c>
      <c r="Q105" s="11" t="s">
        <v>261</v>
      </c>
      <c r="R105" s="11" t="s">
        <v>408</v>
      </c>
      <c r="S105" s="11" t="s">
        <v>409</v>
      </c>
      <c r="T105" s="12" t="s">
        <v>818</v>
      </c>
      <c r="U105" s="11" t="s">
        <v>824</v>
      </c>
      <c r="V105" s="11" t="s">
        <v>565</v>
      </c>
      <c r="W105" s="11">
        <v>1</v>
      </c>
      <c r="X105" s="11" t="s">
        <v>95</v>
      </c>
      <c r="Y105" s="11" t="s">
        <v>261</v>
      </c>
      <c r="Z105" s="11" t="s">
        <v>353</v>
      </c>
      <c r="AA105" s="11" t="s">
        <v>66</v>
      </c>
      <c r="AB105" s="11" t="s">
        <v>27</v>
      </c>
      <c r="AC105" s="11" t="s">
        <v>986</v>
      </c>
      <c r="AD105" s="11" t="s">
        <v>261</v>
      </c>
      <c r="AE105" s="11" t="s">
        <v>551</v>
      </c>
      <c r="AF105" s="12" t="s">
        <v>261</v>
      </c>
      <c r="AG105" s="11" t="s">
        <v>261</v>
      </c>
    </row>
    <row r="106" spans="1:33" ht="30" hidden="1" x14ac:dyDescent="0.25">
      <c r="A106" s="11">
        <v>1</v>
      </c>
      <c r="B106" s="3" t="s">
        <v>261</v>
      </c>
      <c r="C106" s="11">
        <v>202478</v>
      </c>
      <c r="D106" s="11" t="s">
        <v>311</v>
      </c>
      <c r="E106" s="11" t="str">
        <f>MID(Table2[[#This Row],[تاريخ تاييد]],1,7)</f>
        <v>1403/07</v>
      </c>
      <c r="F106" s="11" t="str">
        <f>MID(Table2[[#This Row],[تاريخ تاييد]],6,2)</f>
        <v>07</v>
      </c>
      <c r="G106" s="11" t="s">
        <v>618</v>
      </c>
      <c r="H106" s="11" t="str">
        <f>VLOOKUP(Table2[[#This Row],[شماره فني]],Sheet7!A:C,3,0)</f>
        <v>کلید شیشه بالابر</v>
      </c>
      <c r="I106" s="11" t="str">
        <f>VLOOKUP(Table2[[#This Row],[شماره فني]],Sheet7!A:B,2,0)</f>
        <v>کلید شیشه بالابر جلو چپ سورن</v>
      </c>
      <c r="J106" s="11" t="s">
        <v>321</v>
      </c>
      <c r="K106" s="11" t="s">
        <v>334</v>
      </c>
      <c r="L106" s="11" t="s">
        <v>22</v>
      </c>
      <c r="M106" s="11" t="s">
        <v>345</v>
      </c>
      <c r="N106" s="11" t="s">
        <v>261</v>
      </c>
      <c r="O106" s="11" t="s">
        <v>261</v>
      </c>
      <c r="P106" s="11" t="s">
        <v>261</v>
      </c>
      <c r="Q106" s="11" t="s">
        <v>261</v>
      </c>
      <c r="R106" s="11" t="s">
        <v>261</v>
      </c>
      <c r="S106" s="11" t="s">
        <v>261</v>
      </c>
      <c r="T106" s="11" t="s">
        <v>261</v>
      </c>
      <c r="U106" s="11" t="s">
        <v>583</v>
      </c>
      <c r="V106" s="11" t="s">
        <v>583</v>
      </c>
      <c r="W106" s="11">
        <v>1</v>
      </c>
      <c r="X106" s="11" t="s">
        <v>306</v>
      </c>
      <c r="Y106" s="11" t="s">
        <v>261</v>
      </c>
      <c r="Z106" s="11" t="s">
        <v>390</v>
      </c>
      <c r="AA106" s="11" t="s">
        <v>389</v>
      </c>
      <c r="AB106" s="11" t="s">
        <v>583</v>
      </c>
      <c r="AC106" s="11" t="s">
        <v>261</v>
      </c>
      <c r="AD106" s="11" t="s">
        <v>261</v>
      </c>
      <c r="AE106" s="11" t="s">
        <v>551</v>
      </c>
      <c r="AF106" s="12" t="s">
        <v>261</v>
      </c>
      <c r="AG106" s="11" t="s">
        <v>261</v>
      </c>
    </row>
    <row r="107" spans="1:33" ht="30" hidden="1" x14ac:dyDescent="0.25">
      <c r="A107" s="11">
        <v>1</v>
      </c>
      <c r="B107" s="3" t="s">
        <v>261</v>
      </c>
      <c r="C107" s="11">
        <v>202502</v>
      </c>
      <c r="D107" s="11" t="s">
        <v>312</v>
      </c>
      <c r="E107" s="11" t="str">
        <f>MID(Table2[[#This Row],[تاريخ تاييد]],1,7)</f>
        <v>1403/07</v>
      </c>
      <c r="F107" s="11" t="str">
        <f>MID(Table2[[#This Row],[تاريخ تاييد]],6,2)</f>
        <v>07</v>
      </c>
      <c r="G107" s="11" t="s">
        <v>618</v>
      </c>
      <c r="H107" s="11" t="str">
        <f>VLOOKUP(Table2[[#This Row],[شماره فني]],Sheet7!A:C,3,0)</f>
        <v>جلو آمپر</v>
      </c>
      <c r="I107" s="11" t="str">
        <f>VLOOKUP(Table2[[#This Row],[شماره فني]],Sheet7!A:B,2,0)</f>
        <v>جلو آمپر207  معمولی85 گانه</v>
      </c>
      <c r="J107" s="11" t="s">
        <v>322</v>
      </c>
      <c r="K107" s="11" t="s">
        <v>724</v>
      </c>
      <c r="L107" s="11" t="s">
        <v>22</v>
      </c>
      <c r="M107" s="11" t="s">
        <v>353</v>
      </c>
      <c r="N107" s="11" t="s">
        <v>261</v>
      </c>
      <c r="O107" s="11" t="s">
        <v>261</v>
      </c>
      <c r="P107" s="11" t="s">
        <v>261</v>
      </c>
      <c r="Q107" s="11" t="s">
        <v>261</v>
      </c>
      <c r="R107" s="11" t="s">
        <v>807</v>
      </c>
      <c r="S107" s="11" t="s">
        <v>260</v>
      </c>
      <c r="T107" s="11" t="s">
        <v>808</v>
      </c>
      <c r="U107" s="11" t="s">
        <v>809</v>
      </c>
      <c r="V107" s="11" t="s">
        <v>564</v>
      </c>
      <c r="W107" s="11">
        <v>1</v>
      </c>
      <c r="X107" s="11" t="s">
        <v>30</v>
      </c>
      <c r="Y107" s="11" t="s">
        <v>261</v>
      </c>
      <c r="Z107" s="11" t="s">
        <v>353</v>
      </c>
      <c r="AA107" s="11" t="s">
        <v>66</v>
      </c>
      <c r="AB107" s="11" t="s">
        <v>29</v>
      </c>
      <c r="AC107" s="11" t="s">
        <v>261</v>
      </c>
      <c r="AD107" s="11" t="s">
        <v>261</v>
      </c>
      <c r="AE107" s="11" t="s">
        <v>551</v>
      </c>
      <c r="AF107" s="12" t="s">
        <v>261</v>
      </c>
      <c r="AG107" s="11" t="s">
        <v>261</v>
      </c>
    </row>
    <row r="108" spans="1:33" ht="30" hidden="1" x14ac:dyDescent="0.25">
      <c r="A108" s="11">
        <v>1</v>
      </c>
      <c r="B108" s="3" t="s">
        <v>261</v>
      </c>
      <c r="C108" s="11">
        <v>202546</v>
      </c>
      <c r="D108" s="11" t="s">
        <v>312</v>
      </c>
      <c r="E108" s="11" t="str">
        <f>MID(Table2[[#This Row],[تاريخ تاييد]],1,7)</f>
        <v>1403/07</v>
      </c>
      <c r="F108" s="11" t="str">
        <f>MID(Table2[[#This Row],[تاريخ تاييد]],6,2)</f>
        <v>07</v>
      </c>
      <c r="G108" s="11" t="s">
        <v>618</v>
      </c>
      <c r="H108" s="11" t="str">
        <f>VLOOKUP(Table2[[#This Row],[شماره فني]],Sheet7!A:C,3,0)</f>
        <v>جلو آمپر</v>
      </c>
      <c r="I108" s="11" t="str">
        <f>VLOOKUP(Table2[[#This Row],[شماره فني]],Sheet7!A:B,2,0)</f>
        <v>جلو آمپر دنا ST</v>
      </c>
      <c r="J108" s="11" t="s">
        <v>323</v>
      </c>
      <c r="K108" s="11" t="s">
        <v>334</v>
      </c>
      <c r="L108" s="11" t="s">
        <v>22</v>
      </c>
      <c r="M108" s="11" t="s">
        <v>353</v>
      </c>
      <c r="N108" s="11" t="s">
        <v>261</v>
      </c>
      <c r="O108" s="11" t="s">
        <v>261</v>
      </c>
      <c r="P108" s="11" t="s">
        <v>261</v>
      </c>
      <c r="Q108" s="11" t="s">
        <v>261</v>
      </c>
      <c r="R108" s="11" t="s">
        <v>354</v>
      </c>
      <c r="S108" s="11" t="s">
        <v>841</v>
      </c>
      <c r="T108" s="11" t="s">
        <v>978</v>
      </c>
      <c r="U108" s="11" t="s">
        <v>351</v>
      </c>
      <c r="V108" s="11" t="s">
        <v>561</v>
      </c>
      <c r="W108" s="11">
        <v>1</v>
      </c>
      <c r="X108" s="11" t="s">
        <v>96</v>
      </c>
      <c r="Y108" s="11" t="s">
        <v>261</v>
      </c>
      <c r="Z108" s="11" t="s">
        <v>353</v>
      </c>
      <c r="AA108" s="11" t="s">
        <v>66</v>
      </c>
      <c r="AB108" s="11" t="s">
        <v>28</v>
      </c>
      <c r="AC108" s="11" t="s">
        <v>261</v>
      </c>
      <c r="AD108" s="11" t="s">
        <v>261</v>
      </c>
      <c r="AE108" s="11" t="s">
        <v>551</v>
      </c>
      <c r="AF108" s="12" t="s">
        <v>261</v>
      </c>
      <c r="AG108" s="11" t="s">
        <v>261</v>
      </c>
    </row>
    <row r="109" spans="1:33" ht="45" hidden="1" x14ac:dyDescent="0.25">
      <c r="A109" s="11">
        <v>1</v>
      </c>
      <c r="B109" s="3" t="s">
        <v>261</v>
      </c>
      <c r="C109" s="11">
        <v>202548</v>
      </c>
      <c r="D109" s="11" t="s">
        <v>313</v>
      </c>
      <c r="E109" s="11" t="str">
        <f>MID(Table2[[#This Row],[تاريخ تاييد]],1,7)</f>
        <v>1403/07</v>
      </c>
      <c r="F109" s="11" t="str">
        <f>MID(Table2[[#This Row],[تاريخ تاييد]],6,2)</f>
        <v>07</v>
      </c>
      <c r="G109" s="11" t="s">
        <v>618</v>
      </c>
      <c r="H109" s="11" t="str">
        <f>VLOOKUP(Table2[[#This Row],[شماره فني]],Sheet7!A:C,3,0)</f>
        <v>NOD</v>
      </c>
      <c r="I109" s="11" t="str">
        <f>VLOOKUP(Table2[[#This Row],[شماره فني]],Sheet7!A:B,2,0)</f>
        <v>NBCM DENA</v>
      </c>
      <c r="J109" s="11" t="s">
        <v>324</v>
      </c>
      <c r="K109" s="11" t="s">
        <v>334</v>
      </c>
      <c r="L109" s="11" t="s">
        <v>261</v>
      </c>
      <c r="M109" s="11" t="s">
        <v>261</v>
      </c>
      <c r="N109" s="11" t="s">
        <v>261</v>
      </c>
      <c r="O109" s="11" t="s">
        <v>261</v>
      </c>
      <c r="P109" s="11" t="s">
        <v>261</v>
      </c>
      <c r="Q109" s="11" t="s">
        <v>261</v>
      </c>
      <c r="R109" s="11" t="s">
        <v>961</v>
      </c>
      <c r="S109" s="11" t="s">
        <v>261</v>
      </c>
      <c r="T109" s="11" t="s">
        <v>261</v>
      </c>
      <c r="U109" s="11" t="s">
        <v>552</v>
      </c>
      <c r="V109" s="11" t="s">
        <v>784</v>
      </c>
      <c r="W109" s="11">
        <v>10</v>
      </c>
      <c r="X109" s="11" t="s">
        <v>16</v>
      </c>
      <c r="Y109" s="11" t="s">
        <v>261</v>
      </c>
      <c r="Z109" s="11" t="s">
        <v>261</v>
      </c>
      <c r="AA109" s="11" t="s">
        <v>261</v>
      </c>
      <c r="AB109" s="11" t="s">
        <v>583</v>
      </c>
      <c r="AC109" s="11" t="s">
        <v>261</v>
      </c>
      <c r="AD109" s="11" t="s">
        <v>261</v>
      </c>
      <c r="AE109" s="11" t="s">
        <v>551</v>
      </c>
      <c r="AF109" s="12" t="s">
        <v>261</v>
      </c>
      <c r="AG109" s="11" t="s">
        <v>261</v>
      </c>
    </row>
    <row r="110" spans="1:33" ht="45" hidden="1" x14ac:dyDescent="0.25">
      <c r="A110" s="11">
        <v>1</v>
      </c>
      <c r="B110" s="3" t="s">
        <v>261</v>
      </c>
      <c r="C110" s="11">
        <v>202550</v>
      </c>
      <c r="D110" s="11" t="s">
        <v>313</v>
      </c>
      <c r="E110" s="11" t="str">
        <f>MID(Table2[[#This Row],[تاريخ تاييد]],1,7)</f>
        <v>1403/07</v>
      </c>
      <c r="F110" s="11" t="str">
        <f>MID(Table2[[#This Row],[تاريخ تاييد]],6,2)</f>
        <v>07</v>
      </c>
      <c r="G110" s="11" t="s">
        <v>618</v>
      </c>
      <c r="H110" s="11" t="str">
        <f>VLOOKUP(Table2[[#This Row],[شماره فني]],Sheet7!A:C,3,0)</f>
        <v>NOD</v>
      </c>
      <c r="I110" s="11" t="str">
        <f>VLOOKUP(Table2[[#This Row],[شماره فني]],Sheet7!A:B,2,0)</f>
        <v>NBCM TARA SAL</v>
      </c>
      <c r="J110" s="11" t="s">
        <v>324</v>
      </c>
      <c r="K110" s="11" t="s">
        <v>334</v>
      </c>
      <c r="L110" s="11" t="s">
        <v>261</v>
      </c>
      <c r="M110" s="11" t="s">
        <v>261</v>
      </c>
      <c r="N110" s="11" t="s">
        <v>261</v>
      </c>
      <c r="O110" s="11" t="s">
        <v>261</v>
      </c>
      <c r="P110" s="11" t="s">
        <v>261</v>
      </c>
      <c r="Q110" s="11" t="s">
        <v>261</v>
      </c>
      <c r="R110" s="11" t="s">
        <v>961</v>
      </c>
      <c r="S110" s="11" t="s">
        <v>261</v>
      </c>
      <c r="T110" s="11" t="s">
        <v>261</v>
      </c>
      <c r="U110" s="11" t="s">
        <v>552</v>
      </c>
      <c r="V110" s="11" t="s">
        <v>784</v>
      </c>
      <c r="W110" s="11">
        <v>10</v>
      </c>
      <c r="X110" s="11" t="s">
        <v>95</v>
      </c>
      <c r="Y110" s="11" t="s">
        <v>261</v>
      </c>
      <c r="Z110" s="11" t="s">
        <v>261</v>
      </c>
      <c r="AA110" s="11" t="s">
        <v>261</v>
      </c>
      <c r="AB110" s="11" t="s">
        <v>583</v>
      </c>
      <c r="AC110" s="11" t="s">
        <v>261</v>
      </c>
      <c r="AD110" s="11" t="s">
        <v>261</v>
      </c>
      <c r="AE110" s="11" t="s">
        <v>551</v>
      </c>
      <c r="AF110" s="12" t="s">
        <v>261</v>
      </c>
      <c r="AG110" s="11" t="s">
        <v>261</v>
      </c>
    </row>
    <row r="111" spans="1:33" ht="45" hidden="1" x14ac:dyDescent="0.25">
      <c r="A111" s="11">
        <v>1</v>
      </c>
      <c r="B111" s="3" t="s">
        <v>261</v>
      </c>
      <c r="C111" s="11">
        <v>202551</v>
      </c>
      <c r="D111" s="11" t="s">
        <v>313</v>
      </c>
      <c r="E111" s="11" t="str">
        <f>MID(Table2[[#This Row],[تاريخ تاييد]],1,7)</f>
        <v>1403/07</v>
      </c>
      <c r="F111" s="11" t="str">
        <f>MID(Table2[[#This Row],[تاريخ تاييد]],6,2)</f>
        <v>07</v>
      </c>
      <c r="G111" s="11" t="s">
        <v>618</v>
      </c>
      <c r="H111" s="11" t="str">
        <f>VLOOKUP(Table2[[#This Row],[شماره فني]],Sheet7!A:C,3,0)</f>
        <v>NOD</v>
      </c>
      <c r="I111" s="11" t="str">
        <f>VLOOKUP(Table2[[#This Row],[شماره فني]],Sheet7!A:B,2,0)</f>
        <v>NBCM TARA</v>
      </c>
      <c r="J111" s="11" t="s">
        <v>324</v>
      </c>
      <c r="K111" s="11" t="s">
        <v>334</v>
      </c>
      <c r="L111" s="11" t="s">
        <v>261</v>
      </c>
      <c r="M111" s="11" t="s">
        <v>261</v>
      </c>
      <c r="N111" s="11" t="s">
        <v>261</v>
      </c>
      <c r="O111" s="11" t="s">
        <v>261</v>
      </c>
      <c r="P111" s="11" t="s">
        <v>261</v>
      </c>
      <c r="Q111" s="11" t="s">
        <v>261</v>
      </c>
      <c r="R111" s="11" t="s">
        <v>961</v>
      </c>
      <c r="S111" s="11" t="s">
        <v>261</v>
      </c>
      <c r="T111" s="11" t="s">
        <v>261</v>
      </c>
      <c r="U111" s="11" t="s">
        <v>552</v>
      </c>
      <c r="V111" s="11" t="s">
        <v>784</v>
      </c>
      <c r="W111" s="11">
        <v>10</v>
      </c>
      <c r="X111" s="11" t="s">
        <v>15</v>
      </c>
      <c r="Y111" s="11" t="s">
        <v>261</v>
      </c>
      <c r="Z111" s="11" t="s">
        <v>261</v>
      </c>
      <c r="AA111" s="11" t="s">
        <v>261</v>
      </c>
      <c r="AB111" s="11" t="s">
        <v>583</v>
      </c>
      <c r="AC111" s="11" t="s">
        <v>261</v>
      </c>
      <c r="AD111" s="11" t="s">
        <v>261</v>
      </c>
      <c r="AE111" s="11" t="s">
        <v>551</v>
      </c>
      <c r="AF111" s="12" t="s">
        <v>261</v>
      </c>
      <c r="AG111" s="11" t="s">
        <v>261</v>
      </c>
    </row>
    <row r="112" spans="1:33" ht="45" hidden="1" x14ac:dyDescent="0.25">
      <c r="A112" s="11">
        <v>1</v>
      </c>
      <c r="B112" s="3" t="s">
        <v>261</v>
      </c>
      <c r="C112" s="11">
        <v>202607</v>
      </c>
      <c r="D112" s="11" t="s">
        <v>313</v>
      </c>
      <c r="E112" s="11" t="str">
        <f>MID(Table2[[#This Row],[تاريخ تاييد]],1,7)</f>
        <v>1403/07</v>
      </c>
      <c r="F112" s="11" t="str">
        <f>MID(Table2[[#This Row],[تاريخ تاييد]],6,2)</f>
        <v>07</v>
      </c>
      <c r="G112" s="11" t="s">
        <v>618</v>
      </c>
      <c r="H112" s="11" t="str">
        <f>VLOOKUP(Table2[[#This Row],[شماره فني]],Sheet7!A:C,3,0)</f>
        <v>جلو آمپر</v>
      </c>
      <c r="I112" s="11" t="str">
        <f>VLOOKUP(Table2[[#This Row],[شماره فني]],Sheet7!A:B,2,0)</f>
        <v>جلو آمپر دنا اتوماتیک</v>
      </c>
      <c r="J112" s="11" t="s">
        <v>325</v>
      </c>
      <c r="K112" s="11" t="s">
        <v>233</v>
      </c>
      <c r="L112" s="11" t="s">
        <v>261</v>
      </c>
      <c r="M112" s="11" t="s">
        <v>261</v>
      </c>
      <c r="N112" s="11" t="s">
        <v>261</v>
      </c>
      <c r="O112" s="11" t="s">
        <v>261</v>
      </c>
      <c r="P112" s="11" t="s">
        <v>261</v>
      </c>
      <c r="Q112" s="11" t="s">
        <v>261</v>
      </c>
      <c r="R112" s="11" t="s">
        <v>961</v>
      </c>
      <c r="S112" s="11" t="s">
        <v>261</v>
      </c>
      <c r="T112" s="11" t="s">
        <v>261</v>
      </c>
      <c r="U112" s="11" t="s">
        <v>552</v>
      </c>
      <c r="V112" s="11" t="s">
        <v>784</v>
      </c>
      <c r="W112" s="11">
        <v>1</v>
      </c>
      <c r="X112" s="11" t="s">
        <v>21</v>
      </c>
      <c r="Y112" s="11" t="s">
        <v>261</v>
      </c>
      <c r="Z112" s="11" t="s">
        <v>261</v>
      </c>
      <c r="AA112" s="11" t="s">
        <v>261</v>
      </c>
      <c r="AB112" s="11" t="s">
        <v>583</v>
      </c>
      <c r="AC112" s="11" t="s">
        <v>261</v>
      </c>
      <c r="AD112" s="11" t="s">
        <v>261</v>
      </c>
      <c r="AE112" s="11" t="s">
        <v>551</v>
      </c>
      <c r="AF112" s="12" t="s">
        <v>261</v>
      </c>
      <c r="AG112" s="11" t="s">
        <v>261</v>
      </c>
    </row>
    <row r="113" spans="1:33" ht="30" hidden="1" x14ac:dyDescent="0.25">
      <c r="A113" s="11">
        <v>1</v>
      </c>
      <c r="B113" s="3" t="s">
        <v>261</v>
      </c>
      <c r="C113" s="11">
        <v>202633</v>
      </c>
      <c r="D113" s="11" t="s">
        <v>313</v>
      </c>
      <c r="E113" s="11" t="str">
        <f>MID(Table2[[#This Row],[تاريخ تاييد]],1,7)</f>
        <v>1403/07</v>
      </c>
      <c r="F113" s="11" t="str">
        <f>MID(Table2[[#This Row],[تاريخ تاييد]],6,2)</f>
        <v>07</v>
      </c>
      <c r="G113" s="11" t="s">
        <v>618</v>
      </c>
      <c r="H113" s="11" t="str">
        <f>VLOOKUP(Table2[[#This Row],[شماره فني]],Sheet7!A:C,3,0)</f>
        <v>NOD</v>
      </c>
      <c r="I113" s="11" t="str">
        <f>VLOOKUP(Table2[[#This Row],[شماره فني]],Sheet7!A:B,2,0)</f>
        <v>NBCM TARA SAL</v>
      </c>
      <c r="J113" s="11" t="s">
        <v>326</v>
      </c>
      <c r="K113" s="11" t="s">
        <v>724</v>
      </c>
      <c r="L113" s="11" t="s">
        <v>22</v>
      </c>
      <c r="M113" s="11" t="s">
        <v>353</v>
      </c>
      <c r="N113" s="11" t="s">
        <v>261</v>
      </c>
      <c r="O113" s="11" t="s">
        <v>261</v>
      </c>
      <c r="P113" s="11" t="s">
        <v>261</v>
      </c>
      <c r="Q113" s="11" t="s">
        <v>261</v>
      </c>
      <c r="R113" s="11" t="s">
        <v>356</v>
      </c>
      <c r="S113" s="11" t="s">
        <v>357</v>
      </c>
      <c r="T113" s="11" t="s">
        <v>985</v>
      </c>
      <c r="U113" s="11" t="s">
        <v>361</v>
      </c>
      <c r="V113" s="11" t="s">
        <v>586</v>
      </c>
      <c r="W113" s="11">
        <v>1</v>
      </c>
      <c r="X113" s="11" t="s">
        <v>95</v>
      </c>
      <c r="Y113" s="11" t="s">
        <v>261</v>
      </c>
      <c r="Z113" s="11" t="s">
        <v>353</v>
      </c>
      <c r="AA113" s="11" t="s">
        <v>66</v>
      </c>
      <c r="AB113" s="11" t="s">
        <v>26</v>
      </c>
      <c r="AC113" s="11" t="s">
        <v>261</v>
      </c>
      <c r="AD113" s="11" t="s">
        <v>583</v>
      </c>
      <c r="AE113" s="11" t="s">
        <v>551</v>
      </c>
      <c r="AF113" s="12" t="s">
        <v>261</v>
      </c>
      <c r="AG113" s="11" t="s">
        <v>261</v>
      </c>
    </row>
    <row r="114" spans="1:33" ht="30" hidden="1" x14ac:dyDescent="0.25">
      <c r="A114" s="11">
        <v>1</v>
      </c>
      <c r="B114" s="3" t="s">
        <v>261</v>
      </c>
      <c r="C114" s="11">
        <v>202635</v>
      </c>
      <c r="D114" s="11" t="s">
        <v>313</v>
      </c>
      <c r="E114" s="11" t="str">
        <f>MID(Table2[[#This Row],[تاريخ تاييد]],1,7)</f>
        <v>1403/07</v>
      </c>
      <c r="F114" s="11" t="str">
        <f>MID(Table2[[#This Row],[تاريخ تاييد]],6,2)</f>
        <v>07</v>
      </c>
      <c r="G114" s="11" t="s">
        <v>618</v>
      </c>
      <c r="H114" s="11" t="str">
        <f>VLOOKUP(Table2[[#This Row],[شماره فني]],Sheet7!A:C,3,0)</f>
        <v>جلو آمپر</v>
      </c>
      <c r="I114" s="11" t="str">
        <f>VLOOKUP(Table2[[#This Row],[شماره فني]],Sheet7!A:B,2,0)</f>
        <v>جلو آمپر تارا اتوماتیک</v>
      </c>
      <c r="J114" s="11" t="s">
        <v>327</v>
      </c>
      <c r="K114" s="11" t="s">
        <v>231</v>
      </c>
      <c r="L114" s="11" t="s">
        <v>23</v>
      </c>
      <c r="M114" s="11" t="s">
        <v>353</v>
      </c>
      <c r="N114" s="11" t="s">
        <v>261</v>
      </c>
      <c r="O114" s="11" t="s">
        <v>261</v>
      </c>
      <c r="P114" s="11" t="s">
        <v>261</v>
      </c>
      <c r="Q114" s="11" t="s">
        <v>261</v>
      </c>
      <c r="R114" s="11" t="s">
        <v>419</v>
      </c>
      <c r="S114" s="11" t="s">
        <v>261</v>
      </c>
      <c r="T114" s="11" t="s">
        <v>261</v>
      </c>
      <c r="U114" s="11" t="s">
        <v>583</v>
      </c>
      <c r="V114" s="11" t="s">
        <v>583</v>
      </c>
      <c r="W114" s="11">
        <v>1</v>
      </c>
      <c r="X114" s="11" t="s">
        <v>20</v>
      </c>
      <c r="Y114" s="11" t="s">
        <v>261</v>
      </c>
      <c r="Z114" s="11" t="s">
        <v>390</v>
      </c>
      <c r="AA114" s="11" t="s">
        <v>389</v>
      </c>
      <c r="AB114" s="11" t="s">
        <v>583</v>
      </c>
      <c r="AC114" s="11" t="s">
        <v>261</v>
      </c>
      <c r="AD114" s="11" t="s">
        <v>261</v>
      </c>
      <c r="AE114" s="11" t="s">
        <v>551</v>
      </c>
      <c r="AF114" s="12" t="s">
        <v>261</v>
      </c>
      <c r="AG114" s="11" t="s">
        <v>261</v>
      </c>
    </row>
    <row r="115" spans="1:33" ht="30" hidden="1" x14ac:dyDescent="0.25">
      <c r="A115" s="11">
        <v>1</v>
      </c>
      <c r="B115" s="3" t="s">
        <v>261</v>
      </c>
      <c r="C115" s="11">
        <v>202686</v>
      </c>
      <c r="D115" s="11" t="s">
        <v>313</v>
      </c>
      <c r="E115" s="11" t="str">
        <f>MID(Table2[[#This Row],[تاريخ تاييد]],1,7)</f>
        <v>1403/07</v>
      </c>
      <c r="F115" s="11" t="str">
        <f>MID(Table2[[#This Row],[تاريخ تاييد]],6,2)</f>
        <v>07</v>
      </c>
      <c r="G115" s="11" t="s">
        <v>618</v>
      </c>
      <c r="H115" s="11" t="str">
        <f>VLOOKUP(Table2[[#This Row],[شماره فني]],Sheet7!A:C,3,0)</f>
        <v>جلو آمپر</v>
      </c>
      <c r="I115" s="11" t="str">
        <f>VLOOKUP(Table2[[#This Row],[شماره فني]],Sheet7!A:B,2,0)</f>
        <v>جلو آمپر207  معمولی85 گانه</v>
      </c>
      <c r="J115" s="11" t="s">
        <v>328</v>
      </c>
      <c r="K115" s="11" t="s">
        <v>335</v>
      </c>
      <c r="L115" s="11" t="s">
        <v>23</v>
      </c>
      <c r="M115" s="11" t="s">
        <v>353</v>
      </c>
      <c r="N115" s="11" t="s">
        <v>261</v>
      </c>
      <c r="O115" s="11" t="s">
        <v>261</v>
      </c>
      <c r="P115" s="11" t="s">
        <v>261</v>
      </c>
      <c r="Q115" s="11" t="s">
        <v>261</v>
      </c>
      <c r="R115" s="11" t="s">
        <v>964</v>
      </c>
      <c r="S115" s="11" t="s">
        <v>355</v>
      </c>
      <c r="T115" s="11" t="s">
        <v>261</v>
      </c>
      <c r="U115" s="11" t="s">
        <v>570</v>
      </c>
      <c r="V115" s="11" t="s">
        <v>570</v>
      </c>
      <c r="W115" s="11">
        <v>1</v>
      </c>
      <c r="X115" s="11" t="s">
        <v>30</v>
      </c>
      <c r="Y115" s="11" t="s">
        <v>261</v>
      </c>
      <c r="Z115" s="11" t="s">
        <v>353</v>
      </c>
      <c r="AA115" s="11" t="s">
        <v>66</v>
      </c>
      <c r="AB115" s="11" t="s">
        <v>583</v>
      </c>
      <c r="AC115" s="11" t="s">
        <v>261</v>
      </c>
      <c r="AD115" s="11" t="s">
        <v>261</v>
      </c>
      <c r="AE115" s="11" t="s">
        <v>551</v>
      </c>
      <c r="AF115" s="12" t="s">
        <v>965</v>
      </c>
      <c r="AG115" s="11" t="s">
        <v>261</v>
      </c>
    </row>
    <row r="116" spans="1:33" ht="30" hidden="1" x14ac:dyDescent="0.25">
      <c r="A116" s="11">
        <v>1</v>
      </c>
      <c r="B116" s="3" t="s">
        <v>261</v>
      </c>
      <c r="C116" s="11">
        <v>202844</v>
      </c>
      <c r="D116" s="11" t="s">
        <v>314</v>
      </c>
      <c r="E116" s="11" t="str">
        <f>MID(Table2[[#This Row],[تاريخ تاييد]],1,7)</f>
        <v>1403/07</v>
      </c>
      <c r="F116" s="11" t="str">
        <f>MID(Table2[[#This Row],[تاريخ تاييد]],6,2)</f>
        <v>07</v>
      </c>
      <c r="G116" s="11" t="s">
        <v>618</v>
      </c>
      <c r="H116" s="11" t="str">
        <f>VLOOKUP(Table2[[#This Row],[شماره فني]],Sheet7!A:C,3,0)</f>
        <v>جلو آمپر</v>
      </c>
      <c r="I116" s="11" t="str">
        <f>VLOOKUP(Table2[[#This Row],[شماره فني]],Sheet7!A:B,2,0)</f>
        <v>جلو آمپر207  معمولی85 گانه</v>
      </c>
      <c r="J116" s="11" t="s">
        <v>329</v>
      </c>
      <c r="K116" s="11" t="s">
        <v>334</v>
      </c>
      <c r="L116" s="11" t="s">
        <v>23</v>
      </c>
      <c r="M116" s="11" t="s">
        <v>353</v>
      </c>
      <c r="N116" s="11" t="s">
        <v>261</v>
      </c>
      <c r="O116" s="11" t="s">
        <v>261</v>
      </c>
      <c r="P116" s="11" t="s">
        <v>261</v>
      </c>
      <c r="Q116" s="11" t="s">
        <v>261</v>
      </c>
      <c r="R116" s="11" t="s">
        <v>106</v>
      </c>
      <c r="S116" s="11" t="s">
        <v>261</v>
      </c>
      <c r="T116" s="11" t="s">
        <v>823</v>
      </c>
      <c r="U116" s="11" t="s">
        <v>824</v>
      </c>
      <c r="V116" s="11" t="s">
        <v>586</v>
      </c>
      <c r="W116" s="11">
        <v>1</v>
      </c>
      <c r="X116" s="11" t="s">
        <v>30</v>
      </c>
      <c r="Y116" s="11" t="s">
        <v>261</v>
      </c>
      <c r="Z116" s="11" t="s">
        <v>353</v>
      </c>
      <c r="AA116" s="11" t="s">
        <v>66</v>
      </c>
      <c r="AB116" s="11" t="s">
        <v>26</v>
      </c>
      <c r="AC116" s="11" t="s">
        <v>261</v>
      </c>
      <c r="AD116" s="11" t="s">
        <v>583</v>
      </c>
      <c r="AE116" s="11" t="s">
        <v>551</v>
      </c>
      <c r="AF116" s="12" t="s">
        <v>261</v>
      </c>
      <c r="AG116" s="11" t="s">
        <v>261</v>
      </c>
    </row>
    <row r="117" spans="1:33" ht="30" hidden="1" x14ac:dyDescent="0.25">
      <c r="A117" s="11">
        <v>1</v>
      </c>
      <c r="B117" s="3" t="s">
        <v>261</v>
      </c>
      <c r="C117" s="11">
        <v>202845</v>
      </c>
      <c r="D117" s="11" t="s">
        <v>314</v>
      </c>
      <c r="E117" s="11" t="str">
        <f>MID(Table2[[#This Row],[تاريخ تاييد]],1,7)</f>
        <v>1403/07</v>
      </c>
      <c r="F117" s="11" t="str">
        <f>MID(Table2[[#This Row],[تاريخ تاييد]],6,2)</f>
        <v>07</v>
      </c>
      <c r="G117" s="11" t="s">
        <v>618</v>
      </c>
      <c r="H117" s="11" t="str">
        <f>VLOOKUP(Table2[[#This Row],[شماره فني]],Sheet7!A:C,3,0)</f>
        <v>NOD</v>
      </c>
      <c r="I117" s="11" t="str">
        <f>VLOOKUP(Table2[[#This Row],[شماره فني]],Sheet7!A:B,2,0)</f>
        <v>NBCM DENA</v>
      </c>
      <c r="J117" s="11" t="s">
        <v>330</v>
      </c>
      <c r="K117" s="11" t="s">
        <v>485</v>
      </c>
      <c r="L117" s="11" t="s">
        <v>23</v>
      </c>
      <c r="M117" s="11" t="s">
        <v>353</v>
      </c>
      <c r="N117" s="11" t="s">
        <v>261</v>
      </c>
      <c r="O117" s="11" t="s">
        <v>261</v>
      </c>
      <c r="P117" s="11" t="s">
        <v>22</v>
      </c>
      <c r="Q117" s="11" t="s">
        <v>353</v>
      </c>
      <c r="R117" s="11" t="s">
        <v>359</v>
      </c>
      <c r="S117" s="11" t="s">
        <v>261</v>
      </c>
      <c r="T117" s="11" t="s">
        <v>985</v>
      </c>
      <c r="U117" s="11" t="s">
        <v>360</v>
      </c>
      <c r="V117" s="11" t="s">
        <v>572</v>
      </c>
      <c r="W117" s="11">
        <v>1</v>
      </c>
      <c r="X117" s="11" t="s">
        <v>16</v>
      </c>
      <c r="Y117" s="11" t="s">
        <v>261</v>
      </c>
      <c r="Z117" s="11" t="s">
        <v>353</v>
      </c>
      <c r="AA117" s="11" t="s">
        <v>66</v>
      </c>
      <c r="AB117" s="11" t="s">
        <v>29</v>
      </c>
      <c r="AC117" s="11" t="s">
        <v>261</v>
      </c>
      <c r="AD117" s="11" t="s">
        <v>261</v>
      </c>
      <c r="AE117" s="11" t="s">
        <v>551</v>
      </c>
      <c r="AF117" s="12" t="s">
        <v>261</v>
      </c>
      <c r="AG117" s="11" t="s">
        <v>261</v>
      </c>
    </row>
    <row r="118" spans="1:33" ht="30" hidden="1" x14ac:dyDescent="0.25">
      <c r="A118" s="11">
        <v>1</v>
      </c>
      <c r="B118" s="3" t="s">
        <v>261</v>
      </c>
      <c r="C118" s="11">
        <v>202974</v>
      </c>
      <c r="D118" s="11" t="s">
        <v>315</v>
      </c>
      <c r="E118" s="11" t="str">
        <f>MID(Table2[[#This Row],[تاريخ تاييد]],1,7)</f>
        <v>1403/07</v>
      </c>
      <c r="F118" s="11" t="str">
        <f>MID(Table2[[#This Row],[تاريخ تاييد]],6,2)</f>
        <v>07</v>
      </c>
      <c r="G118" s="11" t="s">
        <v>618</v>
      </c>
      <c r="H118" s="11" t="str">
        <f>VLOOKUP(Table2[[#This Row],[شماره فني]],Sheet7!A:C,3,0)</f>
        <v>جلو آمپر</v>
      </c>
      <c r="I118" s="11" t="str">
        <f>VLOOKUP(Table2[[#This Row],[شماره فني]],Sheet7!A:B,2,0)</f>
        <v>جلو آمپر تارا اتوماتیک</v>
      </c>
      <c r="J118" s="11" t="s">
        <v>331</v>
      </c>
      <c r="K118" s="11" t="s">
        <v>728</v>
      </c>
      <c r="L118" s="11" t="s">
        <v>22</v>
      </c>
      <c r="M118" s="11" t="s">
        <v>353</v>
      </c>
      <c r="N118" s="11" t="s">
        <v>261</v>
      </c>
      <c r="O118" s="11" t="s">
        <v>261</v>
      </c>
      <c r="P118" s="11" t="s">
        <v>261</v>
      </c>
      <c r="Q118" s="11" t="s">
        <v>261</v>
      </c>
      <c r="R118" s="11" t="s">
        <v>261</v>
      </c>
      <c r="S118" s="11" t="s">
        <v>261</v>
      </c>
      <c r="T118" s="11" t="s">
        <v>231</v>
      </c>
      <c r="U118" s="11" t="s">
        <v>797</v>
      </c>
      <c r="V118" s="11" t="s">
        <v>561</v>
      </c>
      <c r="W118" s="11">
        <v>1</v>
      </c>
      <c r="X118" s="11" t="s">
        <v>20</v>
      </c>
      <c r="Y118" s="11" t="s">
        <v>261</v>
      </c>
      <c r="Z118" s="11" t="s">
        <v>390</v>
      </c>
      <c r="AA118" s="11" t="s">
        <v>389</v>
      </c>
      <c r="AB118" s="11" t="s">
        <v>28</v>
      </c>
      <c r="AC118" s="11" t="s">
        <v>261</v>
      </c>
      <c r="AD118" s="11" t="s">
        <v>261</v>
      </c>
      <c r="AE118" s="11" t="s">
        <v>551</v>
      </c>
      <c r="AF118" s="12" t="s">
        <v>261</v>
      </c>
      <c r="AG118" s="11" t="s">
        <v>261</v>
      </c>
    </row>
    <row r="119" spans="1:33" ht="30" hidden="1" x14ac:dyDescent="0.25">
      <c r="A119" s="11">
        <v>1</v>
      </c>
      <c r="B119" s="3" t="s">
        <v>261</v>
      </c>
      <c r="C119" s="11">
        <v>202976</v>
      </c>
      <c r="D119" s="11" t="s">
        <v>315</v>
      </c>
      <c r="E119" s="11" t="str">
        <f>MID(Table2[[#This Row],[تاريخ تاييد]],1,7)</f>
        <v>1403/07</v>
      </c>
      <c r="F119" s="11" t="str">
        <f>MID(Table2[[#This Row],[تاريخ تاييد]],6,2)</f>
        <v>07</v>
      </c>
      <c r="G119" s="11" t="s">
        <v>618</v>
      </c>
      <c r="H119" s="11" t="str">
        <f>VLOOKUP(Table2[[#This Row],[شماره فني]],Sheet7!A:C,3,0)</f>
        <v>جلو آمپر</v>
      </c>
      <c r="I119" s="11" t="str">
        <f>VLOOKUP(Table2[[#This Row],[شماره فني]],Sheet7!A:B,2,0)</f>
        <v>جلو آمپر تارا دستی</v>
      </c>
      <c r="J119" s="11" t="s">
        <v>332</v>
      </c>
      <c r="K119" s="11" t="s">
        <v>334</v>
      </c>
      <c r="L119" s="11" t="s">
        <v>23</v>
      </c>
      <c r="M119" s="11" t="s">
        <v>412</v>
      </c>
      <c r="N119" s="11" t="s">
        <v>261</v>
      </c>
      <c r="O119" s="11" t="s">
        <v>261</v>
      </c>
      <c r="P119" s="11" t="s">
        <v>261</v>
      </c>
      <c r="Q119" s="11" t="s">
        <v>261</v>
      </c>
      <c r="R119" s="11" t="s">
        <v>261</v>
      </c>
      <c r="S119" s="11" t="s">
        <v>261</v>
      </c>
      <c r="T119" s="11" t="s">
        <v>261</v>
      </c>
      <c r="U119" s="11" t="s">
        <v>570</v>
      </c>
      <c r="V119" s="11" t="s">
        <v>570</v>
      </c>
      <c r="W119" s="11">
        <v>1</v>
      </c>
      <c r="X119" s="11" t="s">
        <v>97</v>
      </c>
      <c r="Y119" s="11" t="s">
        <v>261</v>
      </c>
      <c r="Z119" s="11" t="s">
        <v>390</v>
      </c>
      <c r="AA119" s="11" t="s">
        <v>389</v>
      </c>
      <c r="AB119" s="11" t="s">
        <v>583</v>
      </c>
      <c r="AC119" s="11" t="s">
        <v>261</v>
      </c>
      <c r="AD119" s="11" t="s">
        <v>261</v>
      </c>
      <c r="AE119" s="11" t="s">
        <v>551</v>
      </c>
      <c r="AF119" s="12" t="s">
        <v>261</v>
      </c>
      <c r="AG119" s="11" t="s">
        <v>261</v>
      </c>
    </row>
    <row r="120" spans="1:33" ht="90" hidden="1" x14ac:dyDescent="0.25">
      <c r="A120" s="11">
        <v>1</v>
      </c>
      <c r="B120" s="3" t="s">
        <v>261</v>
      </c>
      <c r="C120" s="11">
        <v>202980</v>
      </c>
      <c r="D120" s="11" t="s">
        <v>315</v>
      </c>
      <c r="E120" s="11" t="str">
        <f>MID(Table2[[#This Row],[تاريخ تاييد]],1,7)</f>
        <v>1403/07</v>
      </c>
      <c r="F120" s="11" t="str">
        <f>MID(Table2[[#This Row],[تاريخ تاييد]],6,2)</f>
        <v>07</v>
      </c>
      <c r="G120" s="11" t="s">
        <v>618</v>
      </c>
      <c r="H120" s="11" t="str">
        <f>VLOOKUP(Table2[[#This Row],[شماره فني]],Sheet7!A:C,3,0)</f>
        <v>NOD</v>
      </c>
      <c r="I120" s="11" t="str">
        <f>VLOOKUP(Table2[[#This Row],[شماره فني]],Sheet7!A:B,2,0)</f>
        <v>NBCM DENA</v>
      </c>
      <c r="J120" s="11" t="s">
        <v>333</v>
      </c>
      <c r="K120" s="11" t="s">
        <v>336</v>
      </c>
      <c r="L120" s="11" t="s">
        <v>261</v>
      </c>
      <c r="M120" s="11" t="s">
        <v>261</v>
      </c>
      <c r="N120" s="11" t="s">
        <v>261</v>
      </c>
      <c r="O120" s="11" t="s">
        <v>261</v>
      </c>
      <c r="P120" s="11" t="s">
        <v>261</v>
      </c>
      <c r="Q120" s="11" t="s">
        <v>261</v>
      </c>
      <c r="R120" s="11" t="s">
        <v>785</v>
      </c>
      <c r="S120" s="11" t="s">
        <v>261</v>
      </c>
      <c r="T120" s="11" t="s">
        <v>261</v>
      </c>
      <c r="U120" s="11" t="s">
        <v>552</v>
      </c>
      <c r="V120" s="11" t="s">
        <v>786</v>
      </c>
      <c r="W120" s="11">
        <v>1</v>
      </c>
      <c r="X120" s="11" t="s">
        <v>16</v>
      </c>
      <c r="Y120" s="11" t="s">
        <v>261</v>
      </c>
      <c r="Z120" s="11" t="s">
        <v>382</v>
      </c>
      <c r="AA120" s="11" t="s">
        <v>66</v>
      </c>
      <c r="AB120" s="11" t="s">
        <v>583</v>
      </c>
      <c r="AC120" s="11" t="s">
        <v>261</v>
      </c>
      <c r="AD120" s="11" t="s">
        <v>261</v>
      </c>
      <c r="AE120" s="11" t="s">
        <v>551</v>
      </c>
      <c r="AF120" s="12" t="s">
        <v>261</v>
      </c>
      <c r="AG120" s="11" t="s">
        <v>261</v>
      </c>
    </row>
    <row r="121" spans="1:33" ht="30" hidden="1" x14ac:dyDescent="0.25">
      <c r="A121" s="11">
        <v>1</v>
      </c>
      <c r="B121" s="3" t="s">
        <v>261</v>
      </c>
      <c r="C121" s="11">
        <v>203261</v>
      </c>
      <c r="D121" s="11" t="s">
        <v>362</v>
      </c>
      <c r="E121" s="11" t="str">
        <f>MID(Table2[[#This Row],[تاريخ تاييد]],1,7)</f>
        <v>1403/07</v>
      </c>
      <c r="F121" s="11" t="str">
        <f>MID(Table2[[#This Row],[تاريخ تاييد]],6,2)</f>
        <v>07</v>
      </c>
      <c r="G121" s="11" t="s">
        <v>618</v>
      </c>
      <c r="H121" s="11" t="str">
        <f>VLOOKUP(Table2[[#This Row],[شماره فني]],Sheet7!A:C,3,0)</f>
        <v>NOD</v>
      </c>
      <c r="I121" s="11" t="str">
        <f>VLOOKUP(Table2[[#This Row],[شماره فني]],Sheet7!A:B,2,0)</f>
        <v>NBCM TARA SAL</v>
      </c>
      <c r="J121" s="11" t="s">
        <v>363</v>
      </c>
      <c r="K121" s="11" t="s">
        <v>726</v>
      </c>
      <c r="L121" s="11" t="s">
        <v>22</v>
      </c>
      <c r="M121" s="11" t="s">
        <v>417</v>
      </c>
      <c r="N121" s="11" t="s">
        <v>261</v>
      </c>
      <c r="O121" s="11" t="s">
        <v>261</v>
      </c>
      <c r="P121" s="11" t="s">
        <v>261</v>
      </c>
      <c r="Q121" s="11" t="s">
        <v>261</v>
      </c>
      <c r="R121" s="11" t="s">
        <v>74</v>
      </c>
      <c r="S121" s="11" t="s">
        <v>261</v>
      </c>
      <c r="T121" s="11" t="s">
        <v>802</v>
      </c>
      <c r="U121" s="11" t="s">
        <v>797</v>
      </c>
      <c r="V121" s="11" t="s">
        <v>561</v>
      </c>
      <c r="W121" s="11">
        <v>1</v>
      </c>
      <c r="X121" s="11" t="s">
        <v>95</v>
      </c>
      <c r="Y121" s="11" t="s">
        <v>261</v>
      </c>
      <c r="Z121" s="11" t="s">
        <v>382</v>
      </c>
      <c r="AA121" s="11" t="s">
        <v>66</v>
      </c>
      <c r="AB121" s="11" t="s">
        <v>28</v>
      </c>
      <c r="AC121" s="11" t="s">
        <v>261</v>
      </c>
      <c r="AD121" s="11" t="s">
        <v>261</v>
      </c>
      <c r="AE121" s="11" t="s">
        <v>551</v>
      </c>
      <c r="AF121" s="12" t="s">
        <v>261</v>
      </c>
      <c r="AG121" s="11" t="s">
        <v>261</v>
      </c>
    </row>
    <row r="122" spans="1:33" ht="30" hidden="1" x14ac:dyDescent="0.25">
      <c r="A122" s="11">
        <v>1</v>
      </c>
      <c r="B122" s="3" t="s">
        <v>261</v>
      </c>
      <c r="C122" s="11">
        <v>203273</v>
      </c>
      <c r="D122" s="11" t="s">
        <v>362</v>
      </c>
      <c r="E122" s="11" t="str">
        <f>MID(Table2[[#This Row],[تاريخ تاييد]],1,7)</f>
        <v>1403/07</v>
      </c>
      <c r="F122" s="11" t="str">
        <f>MID(Table2[[#This Row],[تاريخ تاييد]],6,2)</f>
        <v>07</v>
      </c>
      <c r="G122" s="11" t="s">
        <v>618</v>
      </c>
      <c r="H122" s="11" t="str">
        <f>VLOOKUP(Table2[[#This Row],[شماره فني]],Sheet7!A:C,3,0)</f>
        <v>جلو آمپر</v>
      </c>
      <c r="I122" s="11" t="str">
        <f>VLOOKUP(Table2[[#This Row],[شماره فني]],Sheet7!A:B,2,0)</f>
        <v>جلو آمپر207 اتوماتیک85 گانه</v>
      </c>
      <c r="J122" s="11" t="s">
        <v>364</v>
      </c>
      <c r="K122" s="11" t="s">
        <v>233</v>
      </c>
      <c r="L122" s="11" t="s">
        <v>22</v>
      </c>
      <c r="M122" s="11" t="s">
        <v>412</v>
      </c>
      <c r="N122" s="11" t="s">
        <v>261</v>
      </c>
      <c r="O122" s="11" t="s">
        <v>261</v>
      </c>
      <c r="P122" s="11" t="s">
        <v>261</v>
      </c>
      <c r="Q122" s="11" t="s">
        <v>261</v>
      </c>
      <c r="R122" s="11" t="s">
        <v>168</v>
      </c>
      <c r="S122" s="11" t="s">
        <v>416</v>
      </c>
      <c r="T122" s="11" t="s">
        <v>803</v>
      </c>
      <c r="U122" s="11" t="s">
        <v>797</v>
      </c>
      <c r="V122" s="11" t="s">
        <v>561</v>
      </c>
      <c r="W122" s="11">
        <v>1</v>
      </c>
      <c r="X122" s="11" t="s">
        <v>31</v>
      </c>
      <c r="Y122" s="11" t="s">
        <v>261</v>
      </c>
      <c r="Z122" s="11" t="s">
        <v>382</v>
      </c>
      <c r="AA122" s="11" t="s">
        <v>66</v>
      </c>
      <c r="AB122" s="11" t="s">
        <v>28</v>
      </c>
      <c r="AC122" s="11" t="s">
        <v>261</v>
      </c>
      <c r="AD122" s="11" t="s">
        <v>261</v>
      </c>
      <c r="AE122" s="11" t="s">
        <v>551</v>
      </c>
      <c r="AF122" s="12" t="s">
        <v>261</v>
      </c>
      <c r="AG122" s="11" t="s">
        <v>261</v>
      </c>
    </row>
    <row r="123" spans="1:33" ht="30" hidden="1" x14ac:dyDescent="0.25">
      <c r="A123" s="11">
        <v>1</v>
      </c>
      <c r="B123" s="3" t="s">
        <v>261</v>
      </c>
      <c r="C123" s="11">
        <v>203284</v>
      </c>
      <c r="D123" s="11" t="s">
        <v>362</v>
      </c>
      <c r="E123" s="11" t="str">
        <f>MID(Table2[[#This Row],[تاريخ تاييد]],1,7)</f>
        <v>1403/07</v>
      </c>
      <c r="F123" s="11" t="str">
        <f>MID(Table2[[#This Row],[تاريخ تاييد]],6,2)</f>
        <v>07</v>
      </c>
      <c r="G123" s="11" t="s">
        <v>618</v>
      </c>
      <c r="H123" s="11" t="str">
        <f>VLOOKUP(Table2[[#This Row],[شماره فني]],Sheet7!A:C,3,0)</f>
        <v>جلو آمپر</v>
      </c>
      <c r="I123" s="11" t="str">
        <f>VLOOKUP(Table2[[#This Row],[شماره فني]],Sheet7!A:B,2,0)</f>
        <v>جلو آمپر دنا ST</v>
      </c>
      <c r="J123" s="11" t="s">
        <v>365</v>
      </c>
      <c r="K123" s="11" t="s">
        <v>729</v>
      </c>
      <c r="L123" s="11" t="s">
        <v>23</v>
      </c>
      <c r="M123" s="11" t="s">
        <v>412</v>
      </c>
      <c r="N123" s="11" t="s">
        <v>261</v>
      </c>
      <c r="O123" s="11" t="s">
        <v>261</v>
      </c>
      <c r="P123" s="11" t="s">
        <v>261</v>
      </c>
      <c r="Q123" s="11" t="s">
        <v>261</v>
      </c>
      <c r="R123" s="11" t="s">
        <v>418</v>
      </c>
      <c r="S123" s="11" t="s">
        <v>639</v>
      </c>
      <c r="T123" s="11" t="s">
        <v>817</v>
      </c>
      <c r="U123" s="11" t="s">
        <v>809</v>
      </c>
      <c r="V123" s="11" t="s">
        <v>564</v>
      </c>
      <c r="W123" s="11">
        <v>1</v>
      </c>
      <c r="X123" s="11" t="s">
        <v>96</v>
      </c>
      <c r="Y123" s="11" t="s">
        <v>261</v>
      </c>
      <c r="Z123" s="11" t="s">
        <v>392</v>
      </c>
      <c r="AA123" s="11" t="s">
        <v>66</v>
      </c>
      <c r="AB123" s="11" t="s">
        <v>29</v>
      </c>
      <c r="AC123" s="11" t="s">
        <v>261</v>
      </c>
      <c r="AD123" s="11" t="s">
        <v>261</v>
      </c>
      <c r="AE123" s="11" t="s">
        <v>551</v>
      </c>
      <c r="AF123" s="12" t="s">
        <v>261</v>
      </c>
      <c r="AG123" s="11" t="s">
        <v>261</v>
      </c>
    </row>
    <row r="124" spans="1:33" ht="30" hidden="1" x14ac:dyDescent="0.25">
      <c r="A124" s="11">
        <v>1</v>
      </c>
      <c r="B124" s="3" t="s">
        <v>261</v>
      </c>
      <c r="C124" s="11">
        <v>203380</v>
      </c>
      <c r="D124" s="11" t="s">
        <v>366</v>
      </c>
      <c r="E124" s="11" t="str">
        <f>MID(Table2[[#This Row],[تاريخ تاييد]],1,7)</f>
        <v>1403/07</v>
      </c>
      <c r="F124" s="11" t="str">
        <f>MID(Table2[[#This Row],[تاريخ تاييد]],6,2)</f>
        <v>07</v>
      </c>
      <c r="G124" s="11" t="str">
        <f>LEFT(Table2[[#This Row],[تاريخ تاييد]],4)</f>
        <v>1403</v>
      </c>
      <c r="H124" s="11" t="str">
        <f>VLOOKUP(Table2[[#This Row],[شماره فني]],Sheet7!A:C,3,0)</f>
        <v>جلو آمپر</v>
      </c>
      <c r="I124" s="11" t="str">
        <f>VLOOKUP(Table2[[#This Row],[شماره فني]],Sheet7!A:B,2,0)</f>
        <v>جلو آمپر207  معمولی85 گانه</v>
      </c>
      <c r="J124" s="11" t="s">
        <v>367</v>
      </c>
      <c r="K124" s="11" t="s">
        <v>335</v>
      </c>
      <c r="L124" s="11" t="s">
        <v>22</v>
      </c>
      <c r="M124" s="11" t="s">
        <v>412</v>
      </c>
      <c r="N124" s="11" t="s">
        <v>261</v>
      </c>
      <c r="O124" s="11" t="s">
        <v>261</v>
      </c>
      <c r="P124" s="11" t="s">
        <v>261</v>
      </c>
      <c r="Q124" s="11" t="s">
        <v>261</v>
      </c>
      <c r="R124" s="11" t="s">
        <v>964</v>
      </c>
      <c r="S124" s="11" t="s">
        <v>413</v>
      </c>
      <c r="T124" s="11" t="s">
        <v>801</v>
      </c>
      <c r="U124" s="11" t="s">
        <v>797</v>
      </c>
      <c r="V124" s="11" t="s">
        <v>561</v>
      </c>
      <c r="W124" s="11">
        <v>1</v>
      </c>
      <c r="X124" s="11" t="s">
        <v>30</v>
      </c>
      <c r="Y124" s="11" t="s">
        <v>261</v>
      </c>
      <c r="Z124" s="11" t="s">
        <v>392</v>
      </c>
      <c r="AA124" s="11" t="s">
        <v>66</v>
      </c>
      <c r="AB124" s="11" t="s">
        <v>28</v>
      </c>
      <c r="AC124" s="11" t="s">
        <v>261</v>
      </c>
      <c r="AD124" s="11" t="s">
        <v>261</v>
      </c>
      <c r="AE124" s="11" t="s">
        <v>551</v>
      </c>
      <c r="AF124" s="12" t="s">
        <v>965</v>
      </c>
      <c r="AG124" s="11" t="s">
        <v>261</v>
      </c>
    </row>
    <row r="125" spans="1:33" ht="30" hidden="1" x14ac:dyDescent="0.25">
      <c r="A125" s="11">
        <v>1</v>
      </c>
      <c r="B125" s="3" t="s">
        <v>261</v>
      </c>
      <c r="C125" s="11">
        <v>203385</v>
      </c>
      <c r="D125" s="11" t="s">
        <v>366</v>
      </c>
      <c r="E125" s="11" t="str">
        <f>MID(Table2[[#This Row],[تاريخ تاييد]],1,7)</f>
        <v>1403/07</v>
      </c>
      <c r="F125" s="11" t="str">
        <f>MID(Table2[[#This Row],[تاريخ تاييد]],6,2)</f>
        <v>07</v>
      </c>
      <c r="G125" s="11" t="str">
        <f>LEFT(Table2[[#This Row],[تاريخ تاييد]],4)</f>
        <v>1403</v>
      </c>
      <c r="H125" s="11" t="str">
        <f>VLOOKUP(Table2[[#This Row],[شماره فني]],Sheet7!A:C,3,0)</f>
        <v>NOD</v>
      </c>
      <c r="I125" s="11" t="str">
        <f>VLOOKUP(Table2[[#This Row],[شماره فني]],Sheet7!A:B,2,0)</f>
        <v>NBCM TARA SAL</v>
      </c>
      <c r="J125" s="11" t="s">
        <v>368</v>
      </c>
      <c r="K125" s="11" t="s">
        <v>336</v>
      </c>
      <c r="L125" s="11" t="s">
        <v>261</v>
      </c>
      <c r="M125" s="11" t="s">
        <v>261</v>
      </c>
      <c r="N125" s="11" t="s">
        <v>261</v>
      </c>
      <c r="O125" s="11" t="s">
        <v>261</v>
      </c>
      <c r="P125" s="11" t="s">
        <v>261</v>
      </c>
      <c r="Q125" s="11" t="s">
        <v>261</v>
      </c>
      <c r="R125" s="11" t="s">
        <v>261</v>
      </c>
      <c r="S125" s="11" t="s">
        <v>261</v>
      </c>
      <c r="T125" s="11" t="s">
        <v>261</v>
      </c>
      <c r="U125" s="11" t="s">
        <v>552</v>
      </c>
      <c r="V125" s="11" t="s">
        <v>552</v>
      </c>
      <c r="W125" s="11">
        <v>1</v>
      </c>
      <c r="X125" s="11" t="s">
        <v>95</v>
      </c>
      <c r="Y125" s="11" t="s">
        <v>261</v>
      </c>
      <c r="Z125" s="11" t="s">
        <v>261</v>
      </c>
      <c r="AA125" s="11" t="s">
        <v>261</v>
      </c>
      <c r="AB125" s="11" t="s">
        <v>583</v>
      </c>
      <c r="AC125" s="11" t="s">
        <v>261</v>
      </c>
      <c r="AD125" s="11" t="s">
        <v>261</v>
      </c>
      <c r="AE125" s="11" t="s">
        <v>552</v>
      </c>
      <c r="AF125" s="12" t="s">
        <v>261</v>
      </c>
      <c r="AG125" s="11" t="s">
        <v>261</v>
      </c>
    </row>
    <row r="126" spans="1:33" ht="45" hidden="1" x14ac:dyDescent="0.25">
      <c r="A126" s="11">
        <v>1</v>
      </c>
      <c r="B126" s="3" t="s">
        <v>261</v>
      </c>
      <c r="C126" s="11">
        <v>203468</v>
      </c>
      <c r="D126" s="11" t="s">
        <v>369</v>
      </c>
      <c r="E126" s="11" t="str">
        <f>MID(Table2[[#This Row],[تاريخ تاييد]],1,7)</f>
        <v>1403/07</v>
      </c>
      <c r="F126" s="11" t="str">
        <f>MID(Table2[[#This Row],[تاريخ تاييد]],6,2)</f>
        <v>07</v>
      </c>
      <c r="G126" s="11" t="str">
        <f>LEFT(Table2[[#This Row],[تاريخ تاييد]],4)</f>
        <v>1403</v>
      </c>
      <c r="H126" s="11" t="str">
        <f>VLOOKUP(Table2[[#This Row],[شماره فني]],Sheet7!A:C,3,0)</f>
        <v>کلید شیشه بالابر</v>
      </c>
      <c r="I126" s="11" t="str">
        <f>VLOOKUP(Table2[[#This Row],[شماره فني]],Sheet7!A:B,2,0)</f>
        <v>کلید شیشه بالابر عقب چپ سورن</v>
      </c>
      <c r="J126" s="11" t="s">
        <v>370</v>
      </c>
      <c r="K126" s="11" t="s">
        <v>723</v>
      </c>
      <c r="L126" s="11" t="s">
        <v>261</v>
      </c>
      <c r="M126" s="11" t="s">
        <v>261</v>
      </c>
      <c r="N126" s="11" t="s">
        <v>261</v>
      </c>
      <c r="O126" s="11" t="s">
        <v>261</v>
      </c>
      <c r="P126" s="11" t="s">
        <v>261</v>
      </c>
      <c r="Q126" s="11" t="s">
        <v>261</v>
      </c>
      <c r="R126" s="11" t="s">
        <v>961</v>
      </c>
      <c r="S126" s="11" t="s">
        <v>261</v>
      </c>
      <c r="T126" s="11" t="s">
        <v>261</v>
      </c>
      <c r="U126" s="11" t="s">
        <v>552</v>
      </c>
      <c r="V126" s="11" t="s">
        <v>784</v>
      </c>
      <c r="W126" s="11">
        <v>5</v>
      </c>
      <c r="X126" s="11" t="s">
        <v>287</v>
      </c>
      <c r="Y126" s="11" t="s">
        <v>261</v>
      </c>
      <c r="Z126" s="11" t="s">
        <v>261</v>
      </c>
      <c r="AA126" s="11" t="s">
        <v>261</v>
      </c>
      <c r="AB126" s="11" t="s">
        <v>583</v>
      </c>
      <c r="AC126" s="11" t="s">
        <v>261</v>
      </c>
      <c r="AD126" s="11" t="s">
        <v>261</v>
      </c>
      <c r="AE126" s="11" t="s">
        <v>551</v>
      </c>
      <c r="AF126" s="12" t="s">
        <v>261</v>
      </c>
      <c r="AG126" s="11" t="s">
        <v>261</v>
      </c>
    </row>
    <row r="127" spans="1:33" ht="30" hidden="1" x14ac:dyDescent="0.25">
      <c r="A127" s="11">
        <v>1</v>
      </c>
      <c r="B127" s="3" t="s">
        <v>261</v>
      </c>
      <c r="C127" s="11">
        <v>203534</v>
      </c>
      <c r="D127" s="11" t="s">
        <v>371</v>
      </c>
      <c r="E127" s="11" t="str">
        <f>MID(Table2[[#This Row],[تاريخ تاييد]],1,7)</f>
        <v>1403/07</v>
      </c>
      <c r="F127" s="11" t="str">
        <f>MID(Table2[[#This Row],[تاريخ تاييد]],6,2)</f>
        <v>07</v>
      </c>
      <c r="G127" s="11" t="str">
        <f>LEFT(Table2[[#This Row],[تاريخ تاييد]],4)</f>
        <v>1403</v>
      </c>
      <c r="H127" s="11" t="str">
        <f>VLOOKUP(Table2[[#This Row],[شماره فني]],Sheet7!A:C,3,0)</f>
        <v>NOD</v>
      </c>
      <c r="I127" s="11" t="str">
        <f>VLOOKUP(Table2[[#This Row],[شماره فني]],Sheet7!A:B,2,0)</f>
        <v>NBCM DENA</v>
      </c>
      <c r="J127" s="11" t="s">
        <v>372</v>
      </c>
      <c r="K127" s="11" t="s">
        <v>485</v>
      </c>
      <c r="L127" s="11" t="s">
        <v>22</v>
      </c>
      <c r="M127" s="11" t="s">
        <v>392</v>
      </c>
      <c r="N127" s="11" t="s">
        <v>261</v>
      </c>
      <c r="O127" s="11" t="s">
        <v>261</v>
      </c>
      <c r="P127" s="11" t="s">
        <v>261</v>
      </c>
      <c r="Q127" s="11" t="s">
        <v>261</v>
      </c>
      <c r="R127" s="11" t="s">
        <v>414</v>
      </c>
      <c r="S127" s="11" t="s">
        <v>415</v>
      </c>
      <c r="T127" s="11" t="s">
        <v>800</v>
      </c>
      <c r="U127" s="11" t="s">
        <v>797</v>
      </c>
      <c r="V127" s="11" t="s">
        <v>561</v>
      </c>
      <c r="W127" s="11">
        <v>2</v>
      </c>
      <c r="X127" s="11" t="s">
        <v>16</v>
      </c>
      <c r="Y127" s="11" t="s">
        <v>261</v>
      </c>
      <c r="Z127" s="11" t="s">
        <v>392</v>
      </c>
      <c r="AA127" s="11" t="s">
        <v>66</v>
      </c>
      <c r="AB127" s="11" t="s">
        <v>28</v>
      </c>
      <c r="AC127" s="11" t="s">
        <v>261</v>
      </c>
      <c r="AD127" s="11" t="s">
        <v>261</v>
      </c>
      <c r="AE127" s="11" t="s">
        <v>551</v>
      </c>
      <c r="AF127" s="12" t="s">
        <v>261</v>
      </c>
      <c r="AG127" s="11" t="s">
        <v>261</v>
      </c>
    </row>
    <row r="128" spans="1:33" ht="30" hidden="1" x14ac:dyDescent="0.25">
      <c r="A128" s="11">
        <v>1</v>
      </c>
      <c r="B128" s="3" t="s">
        <v>261</v>
      </c>
      <c r="C128" s="11">
        <v>203553</v>
      </c>
      <c r="D128" s="11" t="s">
        <v>371</v>
      </c>
      <c r="E128" s="11" t="str">
        <f>MID(Table2[[#This Row],[تاريخ تاييد]],1,7)</f>
        <v>1403/07</v>
      </c>
      <c r="F128" s="11" t="str">
        <f>MID(Table2[[#This Row],[تاريخ تاييد]],6,2)</f>
        <v>07</v>
      </c>
      <c r="G128" s="11" t="str">
        <f>LEFT(Table2[[#This Row],[تاريخ تاييد]],4)</f>
        <v>1403</v>
      </c>
      <c r="H128" s="11" t="str">
        <f>VLOOKUP(Table2[[#This Row],[شماره فني]],Sheet7!A:C,3,0)</f>
        <v>کلید شیشه بالابر</v>
      </c>
      <c r="I128" s="11" t="str">
        <f>VLOOKUP(Table2[[#This Row],[شماره فني]],Sheet7!A:B,2,0)</f>
        <v>کلید شیشه بالابر جلو چپ دنا</v>
      </c>
      <c r="J128" s="11" t="s">
        <v>373</v>
      </c>
      <c r="K128" s="11" t="s">
        <v>334</v>
      </c>
      <c r="L128" s="11" t="s">
        <v>22</v>
      </c>
      <c r="M128" s="11" t="s">
        <v>392</v>
      </c>
      <c r="N128" s="11" t="s">
        <v>261</v>
      </c>
      <c r="O128" s="11" t="s">
        <v>261</v>
      </c>
      <c r="P128" s="11" t="s">
        <v>261</v>
      </c>
      <c r="Q128" s="11" t="s">
        <v>261</v>
      </c>
      <c r="R128" s="11" t="s">
        <v>787</v>
      </c>
      <c r="S128" s="11" t="s">
        <v>798</v>
      </c>
      <c r="T128" s="11" t="s">
        <v>981</v>
      </c>
      <c r="U128" s="11" t="s">
        <v>1178</v>
      </c>
      <c r="V128" s="11" t="s">
        <v>788</v>
      </c>
      <c r="W128" s="11">
        <v>1</v>
      </c>
      <c r="X128" s="11" t="s">
        <v>387</v>
      </c>
      <c r="Y128" s="11" t="s">
        <v>261</v>
      </c>
      <c r="Z128" s="11" t="s">
        <v>382</v>
      </c>
      <c r="AA128" s="11" t="s">
        <v>66</v>
      </c>
      <c r="AB128" s="11" t="s">
        <v>27</v>
      </c>
      <c r="AC128" s="11" t="s">
        <v>987</v>
      </c>
      <c r="AD128" s="11" t="s">
        <v>261</v>
      </c>
      <c r="AE128" s="11" t="s">
        <v>551</v>
      </c>
      <c r="AF128" s="12" t="s">
        <v>261</v>
      </c>
      <c r="AG128" s="11" t="s">
        <v>261</v>
      </c>
    </row>
    <row r="129" spans="1:33" ht="45" hidden="1" x14ac:dyDescent="0.25">
      <c r="A129" s="11">
        <v>1</v>
      </c>
      <c r="B129" s="3" t="s">
        <v>261</v>
      </c>
      <c r="C129" s="11">
        <v>203619</v>
      </c>
      <c r="D129" s="11" t="s">
        <v>374</v>
      </c>
      <c r="E129" s="11" t="str">
        <f>MID(Table2[[#This Row],[تاريخ تاييد]],1,7)</f>
        <v>1403/08</v>
      </c>
      <c r="F129" s="11" t="str">
        <f>MID(Table2[[#This Row],[تاريخ تاييد]],6,2)</f>
        <v>08</v>
      </c>
      <c r="G129" s="11" t="str">
        <f>LEFT(Table2[[#This Row],[تاريخ تاييد]],4)</f>
        <v>1403</v>
      </c>
      <c r="H129" s="11" t="str">
        <f>VLOOKUP(Table2[[#This Row],[شماره فني]],Sheet7!A:C,3,0)</f>
        <v>کلید شیشه بالابر</v>
      </c>
      <c r="I129" s="11" t="str">
        <f>VLOOKUP(Table2[[#This Row],[شماره فني]],Sheet7!A:B,2,0)</f>
        <v>کلید شیشه بالابر عقب راست سورن</v>
      </c>
      <c r="J129" s="11" t="s">
        <v>375</v>
      </c>
      <c r="K129" s="11" t="s">
        <v>723</v>
      </c>
      <c r="L129" s="11" t="s">
        <v>261</v>
      </c>
      <c r="M129" s="11" t="s">
        <v>261</v>
      </c>
      <c r="N129" s="11" t="s">
        <v>261</v>
      </c>
      <c r="O129" s="11" t="s">
        <v>261</v>
      </c>
      <c r="P129" s="11" t="s">
        <v>261</v>
      </c>
      <c r="Q129" s="11" t="s">
        <v>261</v>
      </c>
      <c r="R129" s="11" t="s">
        <v>961</v>
      </c>
      <c r="S129" s="11" t="s">
        <v>261</v>
      </c>
      <c r="T129" s="11" t="s">
        <v>261</v>
      </c>
      <c r="U129" s="11" t="s">
        <v>552</v>
      </c>
      <c r="V129" s="11" t="s">
        <v>784</v>
      </c>
      <c r="W129" s="11">
        <v>3</v>
      </c>
      <c r="X129" s="11" t="s">
        <v>388</v>
      </c>
      <c r="Y129" s="11" t="s">
        <v>261</v>
      </c>
      <c r="Z129" s="11" t="s">
        <v>261</v>
      </c>
      <c r="AA129" s="11" t="s">
        <v>261</v>
      </c>
      <c r="AB129" s="11" t="s">
        <v>583</v>
      </c>
      <c r="AC129" s="11" t="s">
        <v>261</v>
      </c>
      <c r="AD129" s="11" t="s">
        <v>261</v>
      </c>
      <c r="AE129" s="11" t="s">
        <v>551</v>
      </c>
      <c r="AF129" s="12" t="s">
        <v>261</v>
      </c>
      <c r="AG129" s="11" t="s">
        <v>261</v>
      </c>
    </row>
    <row r="130" spans="1:33" ht="30" hidden="1" x14ac:dyDescent="0.25">
      <c r="A130" s="11">
        <v>1</v>
      </c>
      <c r="B130" s="3" t="s">
        <v>261</v>
      </c>
      <c r="C130" s="11">
        <v>203749</v>
      </c>
      <c r="D130" s="11" t="s">
        <v>376</v>
      </c>
      <c r="E130" s="11" t="str">
        <f>MID(Table2[[#This Row],[تاريخ تاييد]],1,7)</f>
        <v>1403/08</v>
      </c>
      <c r="F130" s="11" t="str">
        <f>MID(Table2[[#This Row],[تاريخ تاييد]],6,2)</f>
        <v>08</v>
      </c>
      <c r="G130" s="11" t="str">
        <f>LEFT(Table2[[#This Row],[تاريخ تاييد]],4)</f>
        <v>1403</v>
      </c>
      <c r="H130" s="11" t="str">
        <f>VLOOKUP(Table2[[#This Row],[شماره فني]],Sheet7!A:C,3,0)</f>
        <v>جلو آمپر</v>
      </c>
      <c r="I130" s="11" t="str">
        <f>VLOOKUP(Table2[[#This Row],[شماره فني]],Sheet7!A:B,2,0)</f>
        <v>جلو آمپر تارا اتوماتیک</v>
      </c>
      <c r="J130" s="11" t="s">
        <v>377</v>
      </c>
      <c r="K130" s="11" t="s">
        <v>233</v>
      </c>
      <c r="L130" s="11" t="s">
        <v>22</v>
      </c>
      <c r="M130" s="11" t="s">
        <v>420</v>
      </c>
      <c r="N130" s="11" t="s">
        <v>261</v>
      </c>
      <c r="O130" s="11" t="s">
        <v>261</v>
      </c>
      <c r="P130" s="11" t="s">
        <v>261</v>
      </c>
      <c r="Q130" s="11" t="s">
        <v>261</v>
      </c>
      <c r="R130" s="11" t="s">
        <v>425</v>
      </c>
      <c r="S130" s="11" t="s">
        <v>573</v>
      </c>
      <c r="T130" s="11" t="s">
        <v>233</v>
      </c>
      <c r="U130" s="11" t="s">
        <v>797</v>
      </c>
      <c r="V130" s="11" t="s">
        <v>574</v>
      </c>
      <c r="W130" s="11">
        <v>1</v>
      </c>
      <c r="X130" s="11" t="s">
        <v>20</v>
      </c>
      <c r="Y130" s="11" t="s">
        <v>261</v>
      </c>
      <c r="Z130" s="11" t="s">
        <v>420</v>
      </c>
      <c r="AA130" s="11" t="s">
        <v>66</v>
      </c>
      <c r="AB130" s="11" t="s">
        <v>26</v>
      </c>
      <c r="AC130" s="11" t="s">
        <v>261</v>
      </c>
      <c r="AD130" s="11" t="s">
        <v>424</v>
      </c>
      <c r="AE130" s="11" t="s">
        <v>551</v>
      </c>
      <c r="AF130" s="12" t="s">
        <v>261</v>
      </c>
      <c r="AG130" s="11" t="s">
        <v>261</v>
      </c>
    </row>
    <row r="131" spans="1:33" ht="30" hidden="1" x14ac:dyDescent="0.25">
      <c r="A131" s="11">
        <v>1</v>
      </c>
      <c r="B131" s="3" t="s">
        <v>261</v>
      </c>
      <c r="C131" s="11">
        <v>203785</v>
      </c>
      <c r="D131" s="11" t="s">
        <v>376</v>
      </c>
      <c r="E131" s="11" t="str">
        <f>MID(Table2[[#This Row],[تاريخ تاييد]],1,7)</f>
        <v>1403/08</v>
      </c>
      <c r="F131" s="11" t="str">
        <f>MID(Table2[[#This Row],[تاريخ تاييد]],6,2)</f>
        <v>08</v>
      </c>
      <c r="G131" s="11" t="str">
        <f>LEFT(Table2[[#This Row],[تاريخ تاييد]],4)</f>
        <v>1403</v>
      </c>
      <c r="H131" s="11" t="str">
        <f>VLOOKUP(Table2[[#This Row],[شماره فني]],Sheet7!A:C,3,0)</f>
        <v>کلید شیشه بالابر</v>
      </c>
      <c r="I131" s="11" t="str">
        <f>VLOOKUP(Table2[[#This Row],[شماره فني]],Sheet7!A:B,2,0)</f>
        <v>کلید شیشه بالابر جلو چپ سورن</v>
      </c>
      <c r="J131" s="11" t="s">
        <v>378</v>
      </c>
      <c r="K131" s="11" t="s">
        <v>723</v>
      </c>
      <c r="L131" s="11" t="s">
        <v>261</v>
      </c>
      <c r="M131" s="11" t="s">
        <v>261</v>
      </c>
      <c r="N131" s="11" t="s">
        <v>261</v>
      </c>
      <c r="O131" s="11" t="s">
        <v>261</v>
      </c>
      <c r="P131" s="11" t="s">
        <v>261</v>
      </c>
      <c r="Q131" s="11" t="s">
        <v>261</v>
      </c>
      <c r="R131" s="11" t="s">
        <v>426</v>
      </c>
      <c r="S131" s="11" t="s">
        <v>261</v>
      </c>
      <c r="T131" s="11" t="s">
        <v>825</v>
      </c>
      <c r="U131" s="11" t="s">
        <v>831</v>
      </c>
      <c r="V131" s="11" t="s">
        <v>561</v>
      </c>
      <c r="W131" s="11">
        <v>5</v>
      </c>
      <c r="X131" s="11" t="s">
        <v>306</v>
      </c>
      <c r="Y131" s="11" t="s">
        <v>261</v>
      </c>
      <c r="Z131" s="11" t="s">
        <v>420</v>
      </c>
      <c r="AA131" s="11" t="s">
        <v>66</v>
      </c>
      <c r="AB131" s="11" t="s">
        <v>28</v>
      </c>
      <c r="AC131" s="11" t="s">
        <v>261</v>
      </c>
      <c r="AD131" s="11" t="s">
        <v>261</v>
      </c>
      <c r="AE131" s="11" t="s">
        <v>551</v>
      </c>
      <c r="AF131" s="12" t="s">
        <v>261</v>
      </c>
      <c r="AG131" s="11" t="s">
        <v>261</v>
      </c>
    </row>
    <row r="132" spans="1:33" ht="45" hidden="1" x14ac:dyDescent="0.25">
      <c r="A132" s="11">
        <v>1</v>
      </c>
      <c r="B132" s="3" t="s">
        <v>261</v>
      </c>
      <c r="C132" s="11">
        <v>203803</v>
      </c>
      <c r="D132" s="11" t="s">
        <v>379</v>
      </c>
      <c r="E132" s="11" t="str">
        <f>MID(Table2[[#This Row],[تاريخ تاييد]],1,7)</f>
        <v>1403/08</v>
      </c>
      <c r="F132" s="11" t="str">
        <f>MID(Table2[[#This Row],[تاريخ تاييد]],6,2)</f>
        <v>08</v>
      </c>
      <c r="G132" s="11" t="str">
        <f>LEFT(Table2[[#This Row],[تاريخ تاييد]],4)</f>
        <v>1403</v>
      </c>
      <c r="H132" s="11" t="str">
        <f>VLOOKUP(Table2[[#This Row],[شماره فني]],Sheet7!A:C,3,0)</f>
        <v>NOD</v>
      </c>
      <c r="I132" s="11" t="str">
        <f>VLOOKUP(Table2[[#This Row],[شماره فني]],Sheet7!A:B,2,0)</f>
        <v>NBCM TARA SAL</v>
      </c>
      <c r="J132" s="11" t="s">
        <v>380</v>
      </c>
      <c r="K132" s="11" t="s">
        <v>727</v>
      </c>
      <c r="L132" s="11" t="s">
        <v>261</v>
      </c>
      <c r="M132" s="11" t="s">
        <v>261</v>
      </c>
      <c r="N132" s="11" t="s">
        <v>261</v>
      </c>
      <c r="O132" s="11" t="s">
        <v>261</v>
      </c>
      <c r="P132" s="11" t="s">
        <v>261</v>
      </c>
      <c r="Q132" s="11" t="s">
        <v>261</v>
      </c>
      <c r="R132" s="11" t="s">
        <v>961</v>
      </c>
      <c r="S132" s="11" t="s">
        <v>261</v>
      </c>
      <c r="T132" s="11" t="s">
        <v>261</v>
      </c>
      <c r="U132" s="11" t="s">
        <v>552</v>
      </c>
      <c r="V132" s="11" t="s">
        <v>784</v>
      </c>
      <c r="W132" s="11">
        <v>1</v>
      </c>
      <c r="X132" s="11" t="s">
        <v>95</v>
      </c>
      <c r="Y132" s="11" t="s">
        <v>261</v>
      </c>
      <c r="Z132" s="11" t="s">
        <v>261</v>
      </c>
      <c r="AA132" s="11" t="s">
        <v>261</v>
      </c>
      <c r="AB132" s="11" t="s">
        <v>583</v>
      </c>
      <c r="AC132" s="11" t="s">
        <v>261</v>
      </c>
      <c r="AD132" s="11" t="s">
        <v>261</v>
      </c>
      <c r="AE132" s="11" t="s">
        <v>551</v>
      </c>
      <c r="AF132" s="12" t="s">
        <v>261</v>
      </c>
      <c r="AG132" s="11" t="s">
        <v>261</v>
      </c>
    </row>
    <row r="133" spans="1:33" ht="30" hidden="1" x14ac:dyDescent="0.25">
      <c r="A133" s="11">
        <v>1</v>
      </c>
      <c r="B133" s="3" t="s">
        <v>261</v>
      </c>
      <c r="C133" s="11">
        <v>203821</v>
      </c>
      <c r="D133" s="11" t="s">
        <v>379</v>
      </c>
      <c r="E133" s="11" t="str">
        <f>MID(Table2[[#This Row],[تاريخ تاييد]],1,7)</f>
        <v>1403/08</v>
      </c>
      <c r="F133" s="11" t="str">
        <f>MID(Table2[[#This Row],[تاريخ تاييد]],6,2)</f>
        <v>08</v>
      </c>
      <c r="G133" s="11" t="str">
        <f>LEFT(Table2[[#This Row],[تاريخ تاييد]],4)</f>
        <v>1403</v>
      </c>
      <c r="H133" s="11" t="str">
        <f>VLOOKUP(Table2[[#This Row],[شماره فني]],Sheet7!A:C,3,0)</f>
        <v>NOD</v>
      </c>
      <c r="I133" s="11" t="str">
        <f>VLOOKUP(Table2[[#This Row],[شماره فني]],Sheet7!A:B,2,0)</f>
        <v>NBCM DENA</v>
      </c>
      <c r="J133" s="11" t="s">
        <v>381</v>
      </c>
      <c r="K133" s="11" t="s">
        <v>730</v>
      </c>
      <c r="L133" s="11" t="s">
        <v>22</v>
      </c>
      <c r="M133" s="11" t="s">
        <v>392</v>
      </c>
      <c r="N133" s="11" t="s">
        <v>261</v>
      </c>
      <c r="O133" s="11" t="s">
        <v>261</v>
      </c>
      <c r="P133" s="11" t="s">
        <v>261</v>
      </c>
      <c r="Q133" s="11" t="s">
        <v>261</v>
      </c>
      <c r="R133" s="11" t="s">
        <v>414</v>
      </c>
      <c r="S133" s="11" t="s">
        <v>415</v>
      </c>
      <c r="T133" s="11" t="s">
        <v>800</v>
      </c>
      <c r="U133" s="11" t="s">
        <v>797</v>
      </c>
      <c r="V133" s="11" t="s">
        <v>561</v>
      </c>
      <c r="W133" s="11">
        <v>1</v>
      </c>
      <c r="X133" s="11" t="s">
        <v>16</v>
      </c>
      <c r="Y133" s="11" t="s">
        <v>261</v>
      </c>
      <c r="Z133" s="11" t="s">
        <v>392</v>
      </c>
      <c r="AA133" s="11" t="s">
        <v>66</v>
      </c>
      <c r="AB133" s="11" t="s">
        <v>28</v>
      </c>
      <c r="AC133" s="11" t="s">
        <v>261</v>
      </c>
      <c r="AD133" s="11" t="s">
        <v>261</v>
      </c>
      <c r="AE133" s="11" t="s">
        <v>551</v>
      </c>
      <c r="AF133" s="12" t="s">
        <v>261</v>
      </c>
      <c r="AG133" s="11" t="s">
        <v>261</v>
      </c>
    </row>
    <row r="134" spans="1:33" ht="45" hidden="1" x14ac:dyDescent="0.25">
      <c r="A134" s="11">
        <v>1</v>
      </c>
      <c r="B134" s="3" t="s">
        <v>261</v>
      </c>
      <c r="C134" s="11">
        <v>203872</v>
      </c>
      <c r="D134" s="11" t="s">
        <v>382</v>
      </c>
      <c r="E134" s="11" t="str">
        <f>MID(Table2[[#This Row],[تاريخ تاييد]],1,7)</f>
        <v>1403/08</v>
      </c>
      <c r="F134" s="11" t="str">
        <f>MID(Table2[[#This Row],[تاريخ تاييد]],6,2)</f>
        <v>08</v>
      </c>
      <c r="G134" s="11" t="str">
        <f>LEFT(Table2[[#This Row],[تاريخ تاييد]],4)</f>
        <v>1403</v>
      </c>
      <c r="H134" s="11" t="str">
        <f>VLOOKUP(Table2[[#This Row],[شماره فني]],Sheet7!A:C,3,0)</f>
        <v>NOD</v>
      </c>
      <c r="I134" s="11" t="str">
        <f>VLOOKUP(Table2[[#This Row],[شماره فني]],Sheet7!A:B,2,0)</f>
        <v>NBCM SOREN</v>
      </c>
      <c r="J134" s="11" t="s">
        <v>866</v>
      </c>
      <c r="K134" s="11" t="s">
        <v>726</v>
      </c>
      <c r="L134" s="11" t="s">
        <v>261</v>
      </c>
      <c r="M134" s="11" t="s">
        <v>261</v>
      </c>
      <c r="N134" s="11" t="s">
        <v>261</v>
      </c>
      <c r="O134" s="11" t="s">
        <v>261</v>
      </c>
      <c r="P134" s="11" t="s">
        <v>261</v>
      </c>
      <c r="Q134" s="11" t="s">
        <v>261</v>
      </c>
      <c r="R134" s="11" t="s">
        <v>961</v>
      </c>
      <c r="S134" s="11" t="s">
        <v>261</v>
      </c>
      <c r="T134" s="11" t="s">
        <v>261</v>
      </c>
      <c r="U134" s="11" t="s">
        <v>552</v>
      </c>
      <c r="V134" s="11" t="s">
        <v>784</v>
      </c>
      <c r="W134" s="11">
        <v>5</v>
      </c>
      <c r="X134" s="11" t="s">
        <v>208</v>
      </c>
      <c r="Y134" s="11" t="s">
        <v>261</v>
      </c>
      <c r="Z134" s="11" t="s">
        <v>261</v>
      </c>
      <c r="AA134" s="11" t="s">
        <v>261</v>
      </c>
      <c r="AB134" s="11" t="s">
        <v>583</v>
      </c>
      <c r="AC134" s="11" t="s">
        <v>261</v>
      </c>
      <c r="AD134" s="11" t="s">
        <v>261</v>
      </c>
      <c r="AE134" s="11" t="s">
        <v>551</v>
      </c>
      <c r="AF134" s="12" t="s">
        <v>261</v>
      </c>
      <c r="AG134" s="11" t="s">
        <v>261</v>
      </c>
    </row>
    <row r="135" spans="1:33" ht="45" hidden="1" x14ac:dyDescent="0.25">
      <c r="A135" s="11">
        <v>1</v>
      </c>
      <c r="B135" s="3" t="s">
        <v>261</v>
      </c>
      <c r="C135" s="11">
        <v>203908</v>
      </c>
      <c r="D135" s="11" t="s">
        <v>382</v>
      </c>
      <c r="E135" s="11" t="str">
        <f>MID(Table2[[#This Row],[تاريخ تاييد]],1,7)</f>
        <v>1403/08</v>
      </c>
      <c r="F135" s="11" t="str">
        <f>MID(Table2[[#This Row],[تاريخ تاييد]],6,2)</f>
        <v>08</v>
      </c>
      <c r="G135" s="11" t="str">
        <f>LEFT(Table2[[#This Row],[تاريخ تاييد]],4)</f>
        <v>1403</v>
      </c>
      <c r="H135" s="11" t="str">
        <f>VLOOKUP(Table2[[#This Row],[شماره فني]],Sheet7!A:C,3,0)</f>
        <v>NOD</v>
      </c>
      <c r="I135" s="11" t="str">
        <f>VLOOKUP(Table2[[#This Row],[شماره فني]],Sheet7!A:B,2,0)</f>
        <v>NBCM 207</v>
      </c>
      <c r="J135" s="11" t="s">
        <v>383</v>
      </c>
      <c r="K135" s="11" t="s">
        <v>289</v>
      </c>
      <c r="L135" s="11" t="s">
        <v>261</v>
      </c>
      <c r="M135" s="11" t="s">
        <v>261</v>
      </c>
      <c r="N135" s="11" t="s">
        <v>261</v>
      </c>
      <c r="O135" s="11" t="s">
        <v>261</v>
      </c>
      <c r="P135" s="11" t="s">
        <v>261</v>
      </c>
      <c r="Q135" s="11" t="s">
        <v>261</v>
      </c>
      <c r="R135" s="11" t="s">
        <v>961</v>
      </c>
      <c r="S135" s="11" t="s">
        <v>261</v>
      </c>
      <c r="T135" s="11" t="s">
        <v>261</v>
      </c>
      <c r="U135" s="11" t="s">
        <v>552</v>
      </c>
      <c r="V135" s="11" t="s">
        <v>784</v>
      </c>
      <c r="W135" s="11">
        <v>8</v>
      </c>
      <c r="X135" s="11" t="s">
        <v>19</v>
      </c>
      <c r="Y135" s="11" t="s">
        <v>261</v>
      </c>
      <c r="Z135" s="11" t="s">
        <v>261</v>
      </c>
      <c r="AA135" s="11" t="s">
        <v>261</v>
      </c>
      <c r="AB135" s="11" t="s">
        <v>583</v>
      </c>
      <c r="AC135" s="11" t="s">
        <v>261</v>
      </c>
      <c r="AD135" s="11" t="s">
        <v>261</v>
      </c>
      <c r="AE135" s="11" t="s">
        <v>551</v>
      </c>
      <c r="AF135" s="12" t="s">
        <v>261</v>
      </c>
      <c r="AG135" s="11" t="s">
        <v>261</v>
      </c>
    </row>
    <row r="136" spans="1:33" ht="45" hidden="1" x14ac:dyDescent="0.25">
      <c r="A136" s="11">
        <v>1</v>
      </c>
      <c r="B136" s="3" t="s">
        <v>261</v>
      </c>
      <c r="C136" s="11">
        <v>203957</v>
      </c>
      <c r="D136" s="11" t="s">
        <v>382</v>
      </c>
      <c r="E136" s="11" t="str">
        <f>MID(Table2[[#This Row],[تاريخ تاييد]],1,7)</f>
        <v>1403/08</v>
      </c>
      <c r="F136" s="11" t="str">
        <f>MID(Table2[[#This Row],[تاريخ تاييد]],6,2)</f>
        <v>08</v>
      </c>
      <c r="G136" s="11" t="str">
        <f>LEFT(Table2[[#This Row],[تاريخ تاييد]],4)</f>
        <v>1403</v>
      </c>
      <c r="H136" s="11" t="str">
        <f>VLOOKUP(Table2[[#This Row],[شماره فني]],Sheet7!A:C,3,0)</f>
        <v>NOD</v>
      </c>
      <c r="I136" s="11" t="str">
        <f>VLOOKUP(Table2[[#This Row],[شماره فني]],Sheet7!A:B,2,0)</f>
        <v>NBCM DENA</v>
      </c>
      <c r="J136" s="11" t="s">
        <v>384</v>
      </c>
      <c r="K136" s="11" t="s">
        <v>485</v>
      </c>
      <c r="L136" s="11" t="s">
        <v>261</v>
      </c>
      <c r="M136" s="11" t="s">
        <v>261</v>
      </c>
      <c r="N136" s="11" t="s">
        <v>261</v>
      </c>
      <c r="O136" s="11" t="s">
        <v>261</v>
      </c>
      <c r="P136" s="11" t="s">
        <v>261</v>
      </c>
      <c r="Q136" s="11" t="s">
        <v>261</v>
      </c>
      <c r="R136" s="11" t="s">
        <v>961</v>
      </c>
      <c r="S136" s="11" t="s">
        <v>261</v>
      </c>
      <c r="T136" s="11" t="s">
        <v>261</v>
      </c>
      <c r="U136" s="11" t="s">
        <v>552</v>
      </c>
      <c r="V136" s="11" t="s">
        <v>784</v>
      </c>
      <c r="W136" s="11">
        <v>2</v>
      </c>
      <c r="X136" s="11" t="s">
        <v>16</v>
      </c>
      <c r="Y136" s="11" t="s">
        <v>261</v>
      </c>
      <c r="Z136" s="11" t="s">
        <v>261</v>
      </c>
      <c r="AA136" s="11" t="s">
        <v>261</v>
      </c>
      <c r="AB136" s="11" t="s">
        <v>583</v>
      </c>
      <c r="AC136" s="11" t="s">
        <v>261</v>
      </c>
      <c r="AD136" s="11" t="s">
        <v>261</v>
      </c>
      <c r="AE136" s="11" t="s">
        <v>551</v>
      </c>
      <c r="AF136" s="12" t="s">
        <v>261</v>
      </c>
      <c r="AG136" s="11" t="s">
        <v>261</v>
      </c>
    </row>
    <row r="137" spans="1:33" ht="45" hidden="1" x14ac:dyDescent="0.25">
      <c r="A137" s="11">
        <v>1</v>
      </c>
      <c r="B137" s="3" t="s">
        <v>261</v>
      </c>
      <c r="C137" s="11">
        <v>203961</v>
      </c>
      <c r="D137" s="11" t="s">
        <v>385</v>
      </c>
      <c r="E137" s="11" t="str">
        <f>MID(Table2[[#This Row],[تاريخ تاييد]],1,7)</f>
        <v>1403/08</v>
      </c>
      <c r="F137" s="11" t="str">
        <f>MID(Table2[[#This Row],[تاريخ تاييد]],6,2)</f>
        <v>08</v>
      </c>
      <c r="G137" s="11" t="str">
        <f>LEFT(Table2[[#This Row],[تاريخ تاييد]],4)</f>
        <v>1403</v>
      </c>
      <c r="H137" s="11" t="str">
        <f>VLOOKUP(Table2[[#This Row],[شماره فني]],Sheet7!A:C,3,0)</f>
        <v>جلو آمپر</v>
      </c>
      <c r="I137" s="11" t="str">
        <f>VLOOKUP(Table2[[#This Row],[شماره فني]],Sheet7!A:B,2,0)</f>
        <v>جلو آمپرSOREN TC 85 گانه</v>
      </c>
      <c r="J137" s="11" t="s">
        <v>386</v>
      </c>
      <c r="K137" s="11" t="s">
        <v>723</v>
      </c>
      <c r="L137" s="11" t="s">
        <v>261</v>
      </c>
      <c r="M137" s="11" t="s">
        <v>261</v>
      </c>
      <c r="N137" s="11" t="s">
        <v>261</v>
      </c>
      <c r="O137" s="11" t="s">
        <v>261</v>
      </c>
      <c r="P137" s="11" t="s">
        <v>261</v>
      </c>
      <c r="Q137" s="11" t="s">
        <v>261</v>
      </c>
      <c r="R137" s="11" t="s">
        <v>961</v>
      </c>
      <c r="S137" s="11" t="s">
        <v>261</v>
      </c>
      <c r="T137" s="11" t="s">
        <v>261</v>
      </c>
      <c r="U137" s="11" t="s">
        <v>552</v>
      </c>
      <c r="V137" s="11" t="s">
        <v>784</v>
      </c>
      <c r="W137" s="11">
        <v>3</v>
      </c>
      <c r="X137" s="11" t="s">
        <v>32</v>
      </c>
      <c r="Y137" s="11" t="s">
        <v>261</v>
      </c>
      <c r="Z137" s="11" t="s">
        <v>261</v>
      </c>
      <c r="AA137" s="11" t="s">
        <v>261</v>
      </c>
      <c r="AB137" s="11" t="s">
        <v>583</v>
      </c>
      <c r="AC137" s="11" t="s">
        <v>261</v>
      </c>
      <c r="AD137" s="11" t="s">
        <v>261</v>
      </c>
      <c r="AE137" s="11" t="s">
        <v>551</v>
      </c>
      <c r="AF137" s="12" t="s">
        <v>261</v>
      </c>
      <c r="AG137" s="11" t="s">
        <v>261</v>
      </c>
    </row>
    <row r="138" spans="1:33" ht="30" hidden="1" x14ac:dyDescent="0.25">
      <c r="A138" s="11">
        <v>1</v>
      </c>
      <c r="B138" s="3" t="s">
        <v>261</v>
      </c>
      <c r="C138" s="11">
        <v>204119</v>
      </c>
      <c r="D138" s="11" t="s">
        <v>392</v>
      </c>
      <c r="E138" s="11" t="str">
        <f>MID(Table2[[#This Row],[تاريخ تاييد]],1,7)</f>
        <v>1403/08</v>
      </c>
      <c r="F138" s="11" t="str">
        <f>MID(Table2[[#This Row],[تاريخ تاييد]],6,2)</f>
        <v>08</v>
      </c>
      <c r="G138" s="11" t="str">
        <f>LEFT(Table2[[#This Row],[تاريخ تاييد]],4)</f>
        <v>1403</v>
      </c>
      <c r="H138" s="11" t="str">
        <f>VLOOKUP(Table2[[#This Row],[شماره فني]],Sheet7!A:C,3,0)</f>
        <v>NOD</v>
      </c>
      <c r="I138" s="11" t="str">
        <f>VLOOKUP(Table2[[#This Row],[شماره فني]],Sheet7!A:B,2,0)</f>
        <v>NBCM DENA</v>
      </c>
      <c r="J138" s="11" t="s">
        <v>393</v>
      </c>
      <c r="K138" s="11" t="s">
        <v>334</v>
      </c>
      <c r="L138" s="11" t="s">
        <v>22</v>
      </c>
      <c r="M138" s="11" t="s">
        <v>420</v>
      </c>
      <c r="N138" s="11" t="s">
        <v>261</v>
      </c>
      <c r="O138" s="11" t="s">
        <v>261</v>
      </c>
      <c r="P138" s="11" t="s">
        <v>261</v>
      </c>
      <c r="Q138" s="11" t="s">
        <v>261</v>
      </c>
      <c r="R138" s="11" t="s">
        <v>423</v>
      </c>
      <c r="S138" s="11" t="s">
        <v>261</v>
      </c>
      <c r="T138" s="11" t="s">
        <v>985</v>
      </c>
      <c r="U138" s="11" t="s">
        <v>360</v>
      </c>
      <c r="V138" s="11" t="s">
        <v>572</v>
      </c>
      <c r="W138" s="11">
        <v>1</v>
      </c>
      <c r="X138" s="11" t="s">
        <v>16</v>
      </c>
      <c r="Y138" s="11" t="s">
        <v>261</v>
      </c>
      <c r="Z138" s="11" t="s">
        <v>353</v>
      </c>
      <c r="AA138" s="11" t="s">
        <v>66</v>
      </c>
      <c r="AB138" s="11" t="s">
        <v>29</v>
      </c>
      <c r="AC138" s="11" t="s">
        <v>261</v>
      </c>
      <c r="AD138" s="11" t="s">
        <v>261</v>
      </c>
      <c r="AE138" s="11" t="s">
        <v>551</v>
      </c>
      <c r="AF138" s="12" t="s">
        <v>261</v>
      </c>
      <c r="AG138" s="11" t="s">
        <v>261</v>
      </c>
    </row>
    <row r="139" spans="1:33" ht="45" hidden="1" x14ac:dyDescent="0.25">
      <c r="A139" s="11">
        <v>1</v>
      </c>
      <c r="B139" s="3" t="s">
        <v>261</v>
      </c>
      <c r="C139" s="11">
        <v>204307</v>
      </c>
      <c r="D139" s="11" t="s">
        <v>394</v>
      </c>
      <c r="E139" s="11" t="str">
        <f>MID(Table2[[#This Row],[تاريخ تاييد]],1,7)</f>
        <v>1403/08</v>
      </c>
      <c r="F139" s="11" t="str">
        <f>MID(Table2[[#This Row],[تاريخ تاييد]],6,2)</f>
        <v>08</v>
      </c>
      <c r="G139" s="11" t="str">
        <f>LEFT(Table2[[#This Row],[تاريخ تاييد]],4)</f>
        <v>1403</v>
      </c>
      <c r="H139" s="11" t="str">
        <f>VLOOKUP(Table2[[#This Row],[شماره فني]],Sheet7!A:C,3,0)</f>
        <v>NOD</v>
      </c>
      <c r="I139" s="11" t="str">
        <f>VLOOKUP(Table2[[#This Row],[شماره فني]],Sheet7!A:B,2,0)</f>
        <v>NBCM DENA</v>
      </c>
      <c r="J139" s="11" t="s">
        <v>395</v>
      </c>
      <c r="K139" s="11" t="s">
        <v>730</v>
      </c>
      <c r="L139" s="11" t="s">
        <v>261</v>
      </c>
      <c r="M139" s="11" t="s">
        <v>261</v>
      </c>
      <c r="N139" s="11" t="s">
        <v>261</v>
      </c>
      <c r="O139" s="11" t="s">
        <v>261</v>
      </c>
      <c r="P139" s="11" t="s">
        <v>261</v>
      </c>
      <c r="Q139" s="11" t="s">
        <v>261</v>
      </c>
      <c r="R139" s="11" t="s">
        <v>961</v>
      </c>
      <c r="S139" s="11" t="s">
        <v>261</v>
      </c>
      <c r="T139" s="11" t="s">
        <v>261</v>
      </c>
      <c r="U139" s="11" t="s">
        <v>552</v>
      </c>
      <c r="V139" s="11" t="s">
        <v>784</v>
      </c>
      <c r="W139" s="11">
        <v>1</v>
      </c>
      <c r="X139" s="11" t="s">
        <v>16</v>
      </c>
      <c r="Y139" s="11" t="s">
        <v>261</v>
      </c>
      <c r="Z139" s="11" t="s">
        <v>261</v>
      </c>
      <c r="AA139" s="11" t="s">
        <v>261</v>
      </c>
      <c r="AB139" s="11" t="s">
        <v>583</v>
      </c>
      <c r="AC139" s="11" t="s">
        <v>261</v>
      </c>
      <c r="AD139" s="11" t="s">
        <v>261</v>
      </c>
      <c r="AE139" s="11" t="s">
        <v>551</v>
      </c>
      <c r="AF139" s="12" t="s">
        <v>261</v>
      </c>
      <c r="AG139" s="11" t="s">
        <v>261</v>
      </c>
    </row>
    <row r="140" spans="1:33" ht="45" hidden="1" x14ac:dyDescent="0.25">
      <c r="A140" s="11">
        <v>1</v>
      </c>
      <c r="B140" s="3" t="s">
        <v>261</v>
      </c>
      <c r="C140" s="11">
        <v>204346</v>
      </c>
      <c r="D140" s="11" t="s">
        <v>394</v>
      </c>
      <c r="E140" s="11" t="str">
        <f>MID(Table2[[#This Row],[تاريخ تاييد]],1,7)</f>
        <v>1403/08</v>
      </c>
      <c r="F140" s="11" t="str">
        <f>MID(Table2[[#This Row],[تاريخ تاييد]],6,2)</f>
        <v>08</v>
      </c>
      <c r="G140" s="11" t="str">
        <f>LEFT(Table2[[#This Row],[تاريخ تاييد]],4)</f>
        <v>1403</v>
      </c>
      <c r="H140" s="11" t="str">
        <f>VLOOKUP(Table2[[#This Row],[شماره فني]],Sheet7!A:C,3,0)</f>
        <v>NOD</v>
      </c>
      <c r="I140" s="11" t="str">
        <f>VLOOKUP(Table2[[#This Row],[شماره فني]],Sheet7!A:B,2,0)</f>
        <v>NBCM 207</v>
      </c>
      <c r="J140" s="11" t="s">
        <v>396</v>
      </c>
      <c r="K140" s="11" t="s">
        <v>336</v>
      </c>
      <c r="L140" s="11" t="s">
        <v>261</v>
      </c>
      <c r="M140" s="11" t="s">
        <v>261</v>
      </c>
      <c r="N140" s="11" t="s">
        <v>261</v>
      </c>
      <c r="O140" s="11" t="s">
        <v>261</v>
      </c>
      <c r="P140" s="11" t="s">
        <v>261</v>
      </c>
      <c r="Q140" s="11" t="s">
        <v>261</v>
      </c>
      <c r="R140" s="11" t="s">
        <v>961</v>
      </c>
      <c r="S140" s="11" t="s">
        <v>261</v>
      </c>
      <c r="T140" s="11" t="s">
        <v>261</v>
      </c>
      <c r="U140" s="11" t="s">
        <v>552</v>
      </c>
      <c r="V140" s="11" t="s">
        <v>784</v>
      </c>
      <c r="W140" s="11">
        <v>1</v>
      </c>
      <c r="X140" s="11" t="s">
        <v>19</v>
      </c>
      <c r="Y140" s="11" t="s">
        <v>261</v>
      </c>
      <c r="Z140" s="11" t="s">
        <v>261</v>
      </c>
      <c r="AA140" s="11" t="s">
        <v>261</v>
      </c>
      <c r="AB140" s="11" t="s">
        <v>583</v>
      </c>
      <c r="AC140" s="11" t="s">
        <v>261</v>
      </c>
      <c r="AD140" s="11" t="s">
        <v>261</v>
      </c>
      <c r="AE140" s="11" t="s">
        <v>551</v>
      </c>
      <c r="AF140" s="12" t="s">
        <v>261</v>
      </c>
      <c r="AG140" s="11" t="s">
        <v>261</v>
      </c>
    </row>
    <row r="141" spans="1:33" ht="30" hidden="1" x14ac:dyDescent="0.25">
      <c r="A141" s="11">
        <v>1</v>
      </c>
      <c r="B141" s="3" t="s">
        <v>261</v>
      </c>
      <c r="C141" s="11">
        <v>204512</v>
      </c>
      <c r="D141" s="11" t="s">
        <v>429</v>
      </c>
      <c r="E141" s="11" t="str">
        <f>MID(Table2[[#This Row],[تاريخ تاييد]],1,7)</f>
        <v>1403/08</v>
      </c>
      <c r="F141" s="11" t="str">
        <f>MID(Table2[[#This Row],[تاريخ تاييد]],6,2)</f>
        <v>08</v>
      </c>
      <c r="G141" s="11" t="str">
        <f>LEFT(Table2[[#This Row],[تاريخ تاييد]],4)</f>
        <v>1403</v>
      </c>
      <c r="H141" s="11" t="str">
        <f>VLOOKUP(Table2[[#This Row],[شماره فني]],Sheet7!A:C,3,0)</f>
        <v>NOD</v>
      </c>
      <c r="I141" s="11" t="str">
        <f>VLOOKUP(Table2[[#This Row],[شماره فني]],Sheet7!A:B,2,0)</f>
        <v>NBCM TARA SAL</v>
      </c>
      <c r="J141" s="11" t="s">
        <v>430</v>
      </c>
      <c r="K141" s="11" t="s">
        <v>726</v>
      </c>
      <c r="L141" s="11" t="s">
        <v>22</v>
      </c>
      <c r="M141" s="11" t="s">
        <v>420</v>
      </c>
      <c r="N141" s="11" t="s">
        <v>261</v>
      </c>
      <c r="O141" s="11" t="s">
        <v>261</v>
      </c>
      <c r="P141" s="11" t="s">
        <v>261</v>
      </c>
      <c r="Q141" s="11" t="s">
        <v>261</v>
      </c>
      <c r="R141" s="11" t="s">
        <v>431</v>
      </c>
      <c r="S141" s="11" t="s">
        <v>261</v>
      </c>
      <c r="T141" s="11" t="s">
        <v>802</v>
      </c>
      <c r="U141" s="11" t="s">
        <v>797</v>
      </c>
      <c r="V141" s="11" t="s">
        <v>561</v>
      </c>
      <c r="W141" s="11">
        <v>1</v>
      </c>
      <c r="X141" s="11" t="s">
        <v>95</v>
      </c>
      <c r="Y141" s="11" t="s">
        <v>261</v>
      </c>
      <c r="Z141" s="11" t="s">
        <v>420</v>
      </c>
      <c r="AA141" s="11" t="s">
        <v>66</v>
      </c>
      <c r="AB141" s="11" t="s">
        <v>28</v>
      </c>
      <c r="AC141" s="11" t="s">
        <v>261</v>
      </c>
      <c r="AD141" s="11" t="s">
        <v>261</v>
      </c>
      <c r="AE141" s="11" t="s">
        <v>551</v>
      </c>
      <c r="AF141" s="12" t="s">
        <v>261</v>
      </c>
      <c r="AG141" s="11" t="s">
        <v>261</v>
      </c>
    </row>
    <row r="142" spans="1:33" ht="30" hidden="1" x14ac:dyDescent="0.25">
      <c r="A142" s="11">
        <v>1</v>
      </c>
      <c r="B142" s="3" t="s">
        <v>261</v>
      </c>
      <c r="C142" s="11">
        <v>204513</v>
      </c>
      <c r="D142" s="11" t="s">
        <v>397</v>
      </c>
      <c r="E142" s="11" t="str">
        <f>MID(Table2[[#This Row],[تاريخ تاييد]],1,7)</f>
        <v>1403/08</v>
      </c>
      <c r="F142" s="11" t="str">
        <f>MID(Table2[[#This Row],[تاريخ تاييد]],6,2)</f>
        <v>08</v>
      </c>
      <c r="G142" s="11" t="str">
        <f>LEFT(Table2[[#This Row],[تاريخ تاييد]],4)</f>
        <v>1403</v>
      </c>
      <c r="H142" s="11" t="str">
        <f>VLOOKUP(Table2[[#This Row],[شماره فني]],Sheet7!A:C,3,0)</f>
        <v>NOD</v>
      </c>
      <c r="I142" s="11" t="str">
        <f>VLOOKUP(Table2[[#This Row],[شماره فني]],Sheet7!A:B,2,0)</f>
        <v>NBCM TARA SAL</v>
      </c>
      <c r="J142" s="11" t="s">
        <v>398</v>
      </c>
      <c r="K142" s="11" t="s">
        <v>232</v>
      </c>
      <c r="L142" s="11" t="s">
        <v>22</v>
      </c>
      <c r="M142" s="11" t="s">
        <v>420</v>
      </c>
      <c r="N142" s="11" t="s">
        <v>261</v>
      </c>
      <c r="O142" s="11" t="s">
        <v>261</v>
      </c>
      <c r="P142" s="11" t="s">
        <v>261</v>
      </c>
      <c r="Q142" s="11" t="s">
        <v>261</v>
      </c>
      <c r="R142" s="11" t="s">
        <v>427</v>
      </c>
      <c r="S142" s="11" t="s">
        <v>428</v>
      </c>
      <c r="T142" s="11" t="s">
        <v>822</v>
      </c>
      <c r="U142" s="11" t="s">
        <v>427</v>
      </c>
      <c r="V142" s="11" t="s">
        <v>575</v>
      </c>
      <c r="W142" s="11">
        <v>2</v>
      </c>
      <c r="X142" s="11" t="s">
        <v>95</v>
      </c>
      <c r="Y142" s="11" t="s">
        <v>261</v>
      </c>
      <c r="Z142" s="11" t="s">
        <v>420</v>
      </c>
      <c r="AA142" s="11" t="s">
        <v>66</v>
      </c>
      <c r="AB142" s="11" t="s">
        <v>29</v>
      </c>
      <c r="AC142" s="11" t="s">
        <v>261</v>
      </c>
      <c r="AD142" s="11" t="s">
        <v>261</v>
      </c>
      <c r="AE142" s="11" t="s">
        <v>551</v>
      </c>
      <c r="AF142" s="12" t="s">
        <v>261</v>
      </c>
      <c r="AG142" s="11" t="s">
        <v>261</v>
      </c>
    </row>
    <row r="143" spans="1:33" ht="30" hidden="1" x14ac:dyDescent="0.25">
      <c r="A143" s="11">
        <v>1</v>
      </c>
      <c r="B143" s="3" t="s">
        <v>261</v>
      </c>
      <c r="C143" s="11">
        <v>204515</v>
      </c>
      <c r="D143" s="11" t="s">
        <v>399</v>
      </c>
      <c r="E143" s="11" t="str">
        <f>MID(Table2[[#This Row],[تاريخ تاييد]],1,7)</f>
        <v>1403/08</v>
      </c>
      <c r="F143" s="11" t="str">
        <f>MID(Table2[[#This Row],[تاريخ تاييد]],6,2)</f>
        <v>08</v>
      </c>
      <c r="G143" s="11" t="str">
        <f>LEFT(Table2[[#This Row],[تاريخ تاييد]],4)</f>
        <v>1403</v>
      </c>
      <c r="H143" s="11" t="str">
        <f>VLOOKUP(Table2[[#This Row],[شماره فني]],Sheet7!A:C,3,0)</f>
        <v>NOD</v>
      </c>
      <c r="I143" s="11" t="str">
        <f>VLOOKUP(Table2[[#This Row],[شماره فني]],Sheet7!A:B,2,0)</f>
        <v>NBCM TARA SAL</v>
      </c>
      <c r="J143" s="11" t="s">
        <v>400</v>
      </c>
      <c r="K143" s="11" t="s">
        <v>232</v>
      </c>
      <c r="L143" s="11" t="s">
        <v>23</v>
      </c>
      <c r="M143" s="11" t="s">
        <v>420</v>
      </c>
      <c r="N143" s="11" t="s">
        <v>261</v>
      </c>
      <c r="O143" s="11" t="s">
        <v>261</v>
      </c>
      <c r="P143" s="11" t="s">
        <v>261</v>
      </c>
      <c r="Q143" s="11" t="s">
        <v>261</v>
      </c>
      <c r="R143" s="11" t="s">
        <v>791</v>
      </c>
      <c r="S143" s="11" t="s">
        <v>792</v>
      </c>
      <c r="T143" s="11" t="s">
        <v>820</v>
      </c>
      <c r="U143" s="11" t="s">
        <v>821</v>
      </c>
      <c r="V143" s="11" t="s">
        <v>793</v>
      </c>
      <c r="W143" s="11">
        <v>1</v>
      </c>
      <c r="X143" s="11" t="s">
        <v>95</v>
      </c>
      <c r="Y143" s="11" t="s">
        <v>261</v>
      </c>
      <c r="Z143" s="11" t="s">
        <v>420</v>
      </c>
      <c r="AA143" s="11" t="s">
        <v>66</v>
      </c>
      <c r="AB143" s="11" t="s">
        <v>27</v>
      </c>
      <c r="AC143" s="11" t="s">
        <v>960</v>
      </c>
      <c r="AD143" s="11" t="s">
        <v>261</v>
      </c>
      <c r="AE143" s="11" t="s">
        <v>551</v>
      </c>
      <c r="AF143" s="12" t="s">
        <v>261</v>
      </c>
      <c r="AG143" s="11" t="s">
        <v>261</v>
      </c>
    </row>
    <row r="144" spans="1:33" ht="150" hidden="1" x14ac:dyDescent="0.25">
      <c r="A144" s="11">
        <v>1</v>
      </c>
      <c r="B144" s="3" t="s">
        <v>261</v>
      </c>
      <c r="C144" s="11">
        <v>204516</v>
      </c>
      <c r="D144" s="11" t="s">
        <v>401</v>
      </c>
      <c r="E144" s="11" t="str">
        <f>MID(Table2[[#This Row],[تاريخ تاييد]],1,7)</f>
        <v>1403/08</v>
      </c>
      <c r="F144" s="11" t="str">
        <f>MID(Table2[[#This Row],[تاريخ تاييد]],6,2)</f>
        <v>08</v>
      </c>
      <c r="G144" s="11" t="str">
        <f>LEFT(Table2[[#This Row],[تاريخ تاييد]],4)</f>
        <v>1403</v>
      </c>
      <c r="H144" s="11" t="str">
        <f>VLOOKUP(Table2[[#This Row],[شماره فني]],Sheet7!A:C,3,0)</f>
        <v>NOD</v>
      </c>
      <c r="I144" s="11" t="str">
        <f>VLOOKUP(Table2[[#This Row],[شماره فني]],Sheet7!A:B,2,0)</f>
        <v>NBCM TARA SAL</v>
      </c>
      <c r="J144" s="11" t="s">
        <v>402</v>
      </c>
      <c r="K144" s="11" t="s">
        <v>334</v>
      </c>
      <c r="L144" s="11" t="s">
        <v>22</v>
      </c>
      <c r="M144" s="11" t="s">
        <v>420</v>
      </c>
      <c r="N144" s="11" t="s">
        <v>261</v>
      </c>
      <c r="O144" s="11" t="s">
        <v>261</v>
      </c>
      <c r="P144" s="11" t="s">
        <v>261</v>
      </c>
      <c r="Q144" s="11" t="s">
        <v>261</v>
      </c>
      <c r="R144" s="11" t="s">
        <v>789</v>
      </c>
      <c r="S144" s="11" t="s">
        <v>790</v>
      </c>
      <c r="T144" s="11" t="s">
        <v>804</v>
      </c>
      <c r="U144" s="11" t="s">
        <v>797</v>
      </c>
      <c r="V144" s="11" t="s">
        <v>583</v>
      </c>
      <c r="W144" s="11">
        <v>1</v>
      </c>
      <c r="X144" s="11" t="s">
        <v>95</v>
      </c>
      <c r="Y144" s="11" t="s">
        <v>261</v>
      </c>
      <c r="Z144" s="11" t="s">
        <v>420</v>
      </c>
      <c r="AA144" s="11" t="s">
        <v>66</v>
      </c>
      <c r="AB144" s="11" t="s">
        <v>583</v>
      </c>
      <c r="AC144" s="11" t="s">
        <v>261</v>
      </c>
      <c r="AD144" s="11" t="s">
        <v>261</v>
      </c>
      <c r="AE144" s="11" t="s">
        <v>551</v>
      </c>
      <c r="AF144" s="12" t="s">
        <v>261</v>
      </c>
      <c r="AG144" s="11" t="s">
        <v>261</v>
      </c>
    </row>
    <row r="145" spans="1:33" ht="30" hidden="1" x14ac:dyDescent="0.25">
      <c r="A145" s="11">
        <v>1</v>
      </c>
      <c r="B145" s="3" t="s">
        <v>261</v>
      </c>
      <c r="C145" s="11">
        <v>204520</v>
      </c>
      <c r="D145" s="11" t="s">
        <v>401</v>
      </c>
      <c r="E145" s="11" t="str">
        <f>MID(Table2[[#This Row],[تاريخ تاييد]],1,7)</f>
        <v>1403/08</v>
      </c>
      <c r="F145" s="11" t="str">
        <f>MID(Table2[[#This Row],[تاريخ تاييد]],6,2)</f>
        <v>08</v>
      </c>
      <c r="G145" s="11" t="str">
        <f>LEFT(Table2[[#This Row],[تاريخ تاييد]],4)</f>
        <v>1403</v>
      </c>
      <c r="H145" s="11" t="str">
        <f>VLOOKUP(Table2[[#This Row],[شماره فني]],Sheet7!A:C,3,0)</f>
        <v>جلو آمپر</v>
      </c>
      <c r="I145" s="11" t="str">
        <f>VLOOKUP(Table2[[#This Row],[شماره فني]],Sheet7!A:B,2,0)</f>
        <v>جلو آمپر دنا ST</v>
      </c>
      <c r="J145" s="11" t="s">
        <v>403</v>
      </c>
      <c r="K145" s="11" t="s">
        <v>723</v>
      </c>
      <c r="L145" s="11" t="s">
        <v>22</v>
      </c>
      <c r="M145" s="11" t="s">
        <v>420</v>
      </c>
      <c r="N145" s="11" t="s">
        <v>261</v>
      </c>
      <c r="O145" s="11" t="s">
        <v>261</v>
      </c>
      <c r="P145" s="11" t="s">
        <v>261</v>
      </c>
      <c r="Q145" s="11" t="s">
        <v>261</v>
      </c>
      <c r="R145" s="11" t="s">
        <v>292</v>
      </c>
      <c r="S145" s="11" t="s">
        <v>261</v>
      </c>
      <c r="T145" s="11" t="s">
        <v>805</v>
      </c>
      <c r="U145" s="11" t="s">
        <v>838</v>
      </c>
      <c r="V145" s="11" t="s">
        <v>561</v>
      </c>
      <c r="W145" s="11">
        <v>1</v>
      </c>
      <c r="X145" s="11" t="s">
        <v>96</v>
      </c>
      <c r="Y145" s="11" t="s">
        <v>261</v>
      </c>
      <c r="Z145" s="11" t="s">
        <v>420</v>
      </c>
      <c r="AA145" s="11" t="s">
        <v>66</v>
      </c>
      <c r="AB145" s="11" t="s">
        <v>28</v>
      </c>
      <c r="AC145" s="11" t="s">
        <v>261</v>
      </c>
      <c r="AD145" s="11" t="s">
        <v>261</v>
      </c>
      <c r="AE145" s="11" t="s">
        <v>551</v>
      </c>
      <c r="AF145" s="12" t="s">
        <v>261</v>
      </c>
      <c r="AG145" s="11" t="s">
        <v>261</v>
      </c>
    </row>
    <row r="146" spans="1:33" ht="30" hidden="1" x14ac:dyDescent="0.25">
      <c r="A146" s="11">
        <v>1</v>
      </c>
      <c r="B146" s="3" t="s">
        <v>261</v>
      </c>
      <c r="C146" s="11">
        <v>204671</v>
      </c>
      <c r="D146" s="11" t="s">
        <v>399</v>
      </c>
      <c r="E146" s="11" t="str">
        <f>MID(Table2[[#This Row],[تاريخ تاييد]],1,7)</f>
        <v>1403/08</v>
      </c>
      <c r="F146" s="11" t="str">
        <f>MID(Table2[[#This Row],[تاريخ تاييد]],6,2)</f>
        <v>08</v>
      </c>
      <c r="G146" s="11" t="str">
        <f>LEFT(Table2[[#This Row],[تاريخ تاييد]],4)</f>
        <v>1403</v>
      </c>
      <c r="H146" s="11" t="str">
        <f>VLOOKUP(Table2[[#This Row],[شماره فني]],Sheet7!A:C,3,0)</f>
        <v>جلو آمپر</v>
      </c>
      <c r="I146" s="11" t="str">
        <f>VLOOKUP(Table2[[#This Row],[شماره فني]],Sheet7!A:B,2,0)</f>
        <v>جلو آمپر دنا ST</v>
      </c>
      <c r="J146" s="11" t="s">
        <v>404</v>
      </c>
      <c r="K146" s="11" t="s">
        <v>231</v>
      </c>
      <c r="L146" s="11" t="s">
        <v>22</v>
      </c>
      <c r="M146" s="11" t="s">
        <v>420</v>
      </c>
      <c r="N146" s="11" t="s">
        <v>261</v>
      </c>
      <c r="O146" s="11" t="s">
        <v>261</v>
      </c>
      <c r="P146" s="11" t="s">
        <v>261</v>
      </c>
      <c r="Q146" s="11" t="s">
        <v>261</v>
      </c>
      <c r="R146" s="11" t="s">
        <v>421</v>
      </c>
      <c r="S146" s="11" t="s">
        <v>261</v>
      </c>
      <c r="T146" s="11" t="s">
        <v>231</v>
      </c>
      <c r="U146" s="11" t="s">
        <v>731</v>
      </c>
      <c r="V146" s="11" t="s">
        <v>586</v>
      </c>
      <c r="W146" s="11">
        <v>1</v>
      </c>
      <c r="X146" s="11" t="s">
        <v>96</v>
      </c>
      <c r="Y146" s="11" t="s">
        <v>261</v>
      </c>
      <c r="Z146" s="11" t="s">
        <v>420</v>
      </c>
      <c r="AA146" s="11" t="s">
        <v>66</v>
      </c>
      <c r="AB146" s="11" t="s">
        <v>26</v>
      </c>
      <c r="AC146" s="11" t="s">
        <v>261</v>
      </c>
      <c r="AD146" s="11" t="s">
        <v>422</v>
      </c>
      <c r="AE146" s="11" t="s">
        <v>551</v>
      </c>
      <c r="AF146" s="12" t="s">
        <v>261</v>
      </c>
      <c r="AG146" s="11" t="s">
        <v>261</v>
      </c>
    </row>
    <row r="147" spans="1:33" ht="45" hidden="1" x14ac:dyDescent="0.25">
      <c r="A147" s="11">
        <v>1</v>
      </c>
      <c r="B147" s="3" t="s">
        <v>261</v>
      </c>
      <c r="C147" s="11">
        <v>204683</v>
      </c>
      <c r="D147" s="11" t="s">
        <v>399</v>
      </c>
      <c r="E147" s="11" t="str">
        <f>MID(Table2[[#This Row],[تاريخ تاييد]],1,7)</f>
        <v>1403/08</v>
      </c>
      <c r="F147" s="11" t="str">
        <f>MID(Table2[[#This Row],[تاريخ تاييد]],6,2)</f>
        <v>08</v>
      </c>
      <c r="G147" s="11" t="str">
        <f>LEFT(Table2[[#This Row],[تاريخ تاييد]],4)</f>
        <v>1403</v>
      </c>
      <c r="H147" s="11" t="str">
        <f>VLOOKUP(Table2[[#This Row],[شماره فني]],Sheet7!A:C,3,0)</f>
        <v>کلید شیشه بالابر</v>
      </c>
      <c r="I147" s="11" t="str">
        <f>VLOOKUP(Table2[[#This Row],[شماره فني]],Sheet7!A:B,2,0)</f>
        <v>کلید شیشه بالابر جلو راست سورن</v>
      </c>
      <c r="J147" s="11" t="s">
        <v>405</v>
      </c>
      <c r="K147" s="11" t="s">
        <v>723</v>
      </c>
      <c r="L147" s="11" t="s">
        <v>261</v>
      </c>
      <c r="M147" s="11" t="s">
        <v>261</v>
      </c>
      <c r="N147" s="11" t="s">
        <v>261</v>
      </c>
      <c r="O147" s="11" t="s">
        <v>261</v>
      </c>
      <c r="P147" s="11" t="s">
        <v>261</v>
      </c>
      <c r="Q147" s="11" t="s">
        <v>261</v>
      </c>
      <c r="R147" s="11" t="s">
        <v>961</v>
      </c>
      <c r="S147" s="11" t="s">
        <v>261</v>
      </c>
      <c r="T147" s="11" t="s">
        <v>261</v>
      </c>
      <c r="U147" s="11" t="s">
        <v>552</v>
      </c>
      <c r="V147" s="11" t="s">
        <v>784</v>
      </c>
      <c r="W147" s="11">
        <v>3</v>
      </c>
      <c r="X147" s="11" t="s">
        <v>205</v>
      </c>
      <c r="Y147" s="11" t="s">
        <v>261</v>
      </c>
      <c r="Z147" s="11" t="s">
        <v>261</v>
      </c>
      <c r="AA147" s="11" t="s">
        <v>261</v>
      </c>
      <c r="AB147" s="11" t="s">
        <v>583</v>
      </c>
      <c r="AC147" s="11" t="s">
        <v>261</v>
      </c>
      <c r="AD147" s="11" t="s">
        <v>261</v>
      </c>
      <c r="AE147" s="11" t="s">
        <v>551</v>
      </c>
      <c r="AF147" s="12" t="s">
        <v>261</v>
      </c>
      <c r="AG147" s="11" t="s">
        <v>261</v>
      </c>
    </row>
    <row r="148" spans="1:33" ht="45" hidden="1" x14ac:dyDescent="0.25">
      <c r="A148" s="11">
        <v>1</v>
      </c>
      <c r="B148" s="3" t="s">
        <v>261</v>
      </c>
      <c r="C148" s="11">
        <v>204702</v>
      </c>
      <c r="D148" s="11" t="s">
        <v>397</v>
      </c>
      <c r="E148" s="11" t="str">
        <f>MID(Table2[[#This Row],[تاريخ تاييد]],1,7)</f>
        <v>1403/08</v>
      </c>
      <c r="F148" s="11" t="str">
        <f>MID(Table2[[#This Row],[تاريخ تاييد]],6,2)</f>
        <v>08</v>
      </c>
      <c r="G148" s="11" t="str">
        <f>LEFT(Table2[[#This Row],[تاريخ تاييد]],4)</f>
        <v>1403</v>
      </c>
      <c r="H148" s="11" t="str">
        <f>VLOOKUP(Table2[[#This Row],[شماره فني]],Sheet7!A:C,3,0)</f>
        <v>NOD</v>
      </c>
      <c r="I148" s="11" t="str">
        <f>VLOOKUP(Table2[[#This Row],[شماره فني]],Sheet7!A:B,2,0)</f>
        <v>NBCM SOREN</v>
      </c>
      <c r="J148" s="11" t="s">
        <v>406</v>
      </c>
      <c r="K148" s="11" t="s">
        <v>485</v>
      </c>
      <c r="L148" s="11" t="s">
        <v>261</v>
      </c>
      <c r="M148" s="11" t="s">
        <v>261</v>
      </c>
      <c r="N148" s="11" t="s">
        <v>261</v>
      </c>
      <c r="O148" s="11" t="s">
        <v>261</v>
      </c>
      <c r="P148" s="11" t="s">
        <v>261</v>
      </c>
      <c r="Q148" s="11" t="s">
        <v>261</v>
      </c>
      <c r="R148" s="11" t="s">
        <v>961</v>
      </c>
      <c r="S148" s="11" t="s">
        <v>261</v>
      </c>
      <c r="T148" s="11" t="s">
        <v>261</v>
      </c>
      <c r="U148" s="11" t="s">
        <v>552</v>
      </c>
      <c r="V148" s="11" t="s">
        <v>784</v>
      </c>
      <c r="W148" s="11">
        <v>4</v>
      </c>
      <c r="X148" s="11" t="s">
        <v>208</v>
      </c>
      <c r="Y148" s="11" t="s">
        <v>261</v>
      </c>
      <c r="Z148" s="11" t="s">
        <v>261</v>
      </c>
      <c r="AA148" s="11" t="s">
        <v>261</v>
      </c>
      <c r="AB148" s="11" t="s">
        <v>583</v>
      </c>
      <c r="AC148" s="11" t="s">
        <v>261</v>
      </c>
      <c r="AD148" s="11" t="s">
        <v>261</v>
      </c>
      <c r="AE148" s="11" t="s">
        <v>551</v>
      </c>
      <c r="AF148" s="12" t="s">
        <v>261</v>
      </c>
      <c r="AG148" s="11" t="s">
        <v>261</v>
      </c>
    </row>
    <row r="149" spans="1:33" ht="30" hidden="1" x14ac:dyDescent="0.25">
      <c r="A149" s="11">
        <v>1</v>
      </c>
      <c r="B149" s="3" t="s">
        <v>261</v>
      </c>
      <c r="C149" s="11">
        <v>204733</v>
      </c>
      <c r="D149" s="11" t="s">
        <v>397</v>
      </c>
      <c r="E149" s="11" t="str">
        <f>MID(Table2[[#This Row],[تاريخ تاييد]],1,7)</f>
        <v>1403/08</v>
      </c>
      <c r="F149" s="11" t="str">
        <f>MID(Table2[[#This Row],[تاريخ تاييد]],6,2)</f>
        <v>08</v>
      </c>
      <c r="G149" s="11" t="str">
        <f>LEFT(Table2[[#This Row],[تاريخ تاييد]],4)</f>
        <v>1403</v>
      </c>
      <c r="H149" s="11" t="str">
        <f>VLOOKUP(Table2[[#This Row],[شماره فني]],Sheet7!A:C,3,0)</f>
        <v>NOD</v>
      </c>
      <c r="I149" s="11" t="str">
        <f>VLOOKUP(Table2[[#This Row],[شماره فني]],Sheet7!A:B,2,0)</f>
        <v>NBCM TARA SAL</v>
      </c>
      <c r="J149" s="11" t="s">
        <v>407</v>
      </c>
      <c r="K149" s="11" t="s">
        <v>230</v>
      </c>
      <c r="L149" s="11" t="s">
        <v>261</v>
      </c>
      <c r="M149" s="11" t="s">
        <v>261</v>
      </c>
      <c r="N149" s="11" t="s">
        <v>261</v>
      </c>
      <c r="O149" s="11" t="s">
        <v>261</v>
      </c>
      <c r="P149" s="11" t="s">
        <v>261</v>
      </c>
      <c r="Q149" s="11" t="s">
        <v>261</v>
      </c>
      <c r="R149" s="11" t="s">
        <v>261</v>
      </c>
      <c r="S149" s="11" t="s">
        <v>576</v>
      </c>
      <c r="T149" s="11" t="s">
        <v>830</v>
      </c>
      <c r="U149" s="11" t="s">
        <v>230</v>
      </c>
      <c r="V149" s="11" t="s">
        <v>586</v>
      </c>
      <c r="W149" s="11">
        <v>1</v>
      </c>
      <c r="X149" s="11" t="s">
        <v>95</v>
      </c>
      <c r="Y149" s="11" t="s">
        <v>261</v>
      </c>
      <c r="Z149" s="11" t="s">
        <v>261</v>
      </c>
      <c r="AA149" s="11" t="s">
        <v>261</v>
      </c>
      <c r="AB149" s="11" t="s">
        <v>26</v>
      </c>
      <c r="AC149" s="11" t="s">
        <v>261</v>
      </c>
      <c r="AD149" s="11" t="s">
        <v>583</v>
      </c>
      <c r="AE149" s="11" t="s">
        <v>551</v>
      </c>
      <c r="AF149" s="12" t="s">
        <v>261</v>
      </c>
      <c r="AG149" s="11" t="s">
        <v>261</v>
      </c>
    </row>
    <row r="150" spans="1:33" ht="30" hidden="1" x14ac:dyDescent="0.25">
      <c r="A150" s="11">
        <v>1</v>
      </c>
      <c r="B150" s="3" t="s">
        <v>261</v>
      </c>
      <c r="C150" s="11">
        <v>204855</v>
      </c>
      <c r="D150" s="11" t="s">
        <v>417</v>
      </c>
      <c r="E150" s="11" t="str">
        <f>MID(Table2[[#This Row],[تاريخ تاييد]],1,7)</f>
        <v>1403/08</v>
      </c>
      <c r="F150" s="11" t="str">
        <f>MID(Table2[[#This Row],[تاريخ تاييد]],6,2)</f>
        <v>08</v>
      </c>
      <c r="G150" s="11" t="str">
        <f>LEFT(Table2[[#This Row],[تاريخ تاييد]],4)</f>
        <v>1403</v>
      </c>
      <c r="H150" s="11" t="str">
        <f>VLOOKUP(Table2[[#This Row],[شماره فني]],Sheet7!A:C,3,0)</f>
        <v>جلو آمپر</v>
      </c>
      <c r="I150" s="11" t="str">
        <f>VLOOKUP(Table2[[#This Row],[شماره فني]],Sheet7!A:B,2,0)</f>
        <v>جلو آمپر دنا ST</v>
      </c>
      <c r="J150" s="11" t="s">
        <v>432</v>
      </c>
      <c r="K150" s="11" t="s">
        <v>233</v>
      </c>
      <c r="L150" s="11" t="s">
        <v>22</v>
      </c>
      <c r="M150" s="11" t="s">
        <v>444</v>
      </c>
      <c r="N150" s="11" t="s">
        <v>261</v>
      </c>
      <c r="O150" s="11" t="s">
        <v>261</v>
      </c>
      <c r="P150" s="11" t="s">
        <v>261</v>
      </c>
      <c r="Q150" s="11" t="s">
        <v>261</v>
      </c>
      <c r="R150" s="11" t="s">
        <v>168</v>
      </c>
      <c r="S150" s="11" t="s">
        <v>261</v>
      </c>
      <c r="T150" s="11" t="s">
        <v>803</v>
      </c>
      <c r="U150" s="11" t="s">
        <v>797</v>
      </c>
      <c r="V150" s="11" t="s">
        <v>561</v>
      </c>
      <c r="W150" s="11">
        <v>1</v>
      </c>
      <c r="X150" s="11" t="s">
        <v>96</v>
      </c>
      <c r="Y150" s="11" t="s">
        <v>445</v>
      </c>
      <c r="Z150" s="11" t="s">
        <v>444</v>
      </c>
      <c r="AA150" s="11" t="s">
        <v>66</v>
      </c>
      <c r="AB150" s="11" t="s">
        <v>28</v>
      </c>
      <c r="AC150" s="11" t="s">
        <v>261</v>
      </c>
      <c r="AD150" s="11" t="s">
        <v>261</v>
      </c>
      <c r="AE150" s="11" t="s">
        <v>551</v>
      </c>
      <c r="AF150" s="12" t="s">
        <v>261</v>
      </c>
      <c r="AG150" s="11" t="s">
        <v>261</v>
      </c>
    </row>
    <row r="151" spans="1:33" ht="30" hidden="1" x14ac:dyDescent="0.25">
      <c r="A151" s="11">
        <v>1</v>
      </c>
      <c r="B151" s="3" t="s">
        <v>261</v>
      </c>
      <c r="C151" s="11">
        <v>204993</v>
      </c>
      <c r="D151" s="11" t="s">
        <v>429</v>
      </c>
      <c r="E151" s="11" t="str">
        <f>MID(Table2[[#This Row],[تاريخ تاييد]],1,7)</f>
        <v>1403/08</v>
      </c>
      <c r="F151" s="11" t="str">
        <f>MID(Table2[[#This Row],[تاريخ تاييد]],6,2)</f>
        <v>08</v>
      </c>
      <c r="G151" s="11" t="str">
        <f>LEFT(Table2[[#This Row],[تاريخ تاييد]],4)</f>
        <v>1403</v>
      </c>
      <c r="H151" s="11" t="str">
        <f>VLOOKUP(Table2[[#This Row],[شماره فني]],Sheet7!A:C,3,0)</f>
        <v>جلو آمپر</v>
      </c>
      <c r="I151" s="11" t="str">
        <f>VLOOKUP(Table2[[#This Row],[شماره فني]],Sheet7!A:B,2,0)</f>
        <v>جلو آمپر207 اتوماتیک85 گانه</v>
      </c>
      <c r="J151" s="11" t="s">
        <v>433</v>
      </c>
      <c r="K151" s="11" t="s">
        <v>723</v>
      </c>
      <c r="L151" s="11" t="s">
        <v>22</v>
      </c>
      <c r="M151" s="11" t="s">
        <v>444</v>
      </c>
      <c r="N151" s="11" t="s">
        <v>261</v>
      </c>
      <c r="O151" s="11" t="s">
        <v>261</v>
      </c>
      <c r="P151" s="11" t="s">
        <v>261</v>
      </c>
      <c r="Q151" s="11" t="s">
        <v>261</v>
      </c>
      <c r="R151" s="11" t="s">
        <v>257</v>
      </c>
      <c r="S151" s="11" t="s">
        <v>577</v>
      </c>
      <c r="T151" s="11" t="s">
        <v>826</v>
      </c>
      <c r="U151" s="11" t="s">
        <v>827</v>
      </c>
      <c r="V151" s="11" t="s">
        <v>561</v>
      </c>
      <c r="W151" s="11">
        <v>1</v>
      </c>
      <c r="X151" s="11" t="s">
        <v>31</v>
      </c>
      <c r="Y151" s="11" t="s">
        <v>446</v>
      </c>
      <c r="Z151" s="11" t="s">
        <v>444</v>
      </c>
      <c r="AA151" s="11" t="s">
        <v>66</v>
      </c>
      <c r="AB151" s="11" t="s">
        <v>28</v>
      </c>
      <c r="AC151" s="11" t="s">
        <v>261</v>
      </c>
      <c r="AD151" s="11" t="s">
        <v>261</v>
      </c>
      <c r="AE151" s="11" t="s">
        <v>551</v>
      </c>
      <c r="AF151" s="12" t="s">
        <v>261</v>
      </c>
      <c r="AG151" s="11" t="s">
        <v>261</v>
      </c>
    </row>
    <row r="152" spans="1:33" ht="45" hidden="1" x14ac:dyDescent="0.25">
      <c r="A152" s="11">
        <v>1</v>
      </c>
      <c r="B152" s="3" t="s">
        <v>261</v>
      </c>
      <c r="C152" s="11">
        <v>205012</v>
      </c>
      <c r="D152" s="11" t="s">
        <v>429</v>
      </c>
      <c r="E152" s="11" t="str">
        <f>MID(Table2[[#This Row],[تاريخ تاييد]],1,7)</f>
        <v>1403/08</v>
      </c>
      <c r="F152" s="11" t="str">
        <f>MID(Table2[[#This Row],[تاريخ تاييد]],6,2)</f>
        <v>08</v>
      </c>
      <c r="G152" s="11" t="str">
        <f>LEFT(Table2[[#This Row],[تاريخ تاييد]],4)</f>
        <v>1403</v>
      </c>
      <c r="H152" s="11" t="str">
        <f>VLOOKUP(Table2[[#This Row],[شماره فني]],Sheet7!A:C,3,0)</f>
        <v>کلید شیشه بالابر</v>
      </c>
      <c r="I152" s="11" t="str">
        <f>VLOOKUP(Table2[[#This Row],[شماره فني]],Sheet7!A:B,2,0)</f>
        <v>کلید شیشه بالابر عقب چپ سورن</v>
      </c>
      <c r="J152" s="11" t="s">
        <v>434</v>
      </c>
      <c r="K152" s="11" t="s">
        <v>723</v>
      </c>
      <c r="L152" s="11" t="s">
        <v>261</v>
      </c>
      <c r="M152" s="11" t="s">
        <v>261</v>
      </c>
      <c r="N152" s="11" t="s">
        <v>261</v>
      </c>
      <c r="O152" s="11" t="s">
        <v>261</v>
      </c>
      <c r="P152" s="11" t="s">
        <v>261</v>
      </c>
      <c r="Q152" s="11" t="s">
        <v>261</v>
      </c>
      <c r="R152" s="11" t="s">
        <v>961</v>
      </c>
      <c r="S152" s="11" t="s">
        <v>261</v>
      </c>
      <c r="T152" s="11" t="s">
        <v>261</v>
      </c>
      <c r="U152" s="11" t="s">
        <v>552</v>
      </c>
      <c r="V152" s="11" t="s">
        <v>784</v>
      </c>
      <c r="W152" s="11">
        <v>10</v>
      </c>
      <c r="X152" s="11" t="s">
        <v>287</v>
      </c>
      <c r="Y152" s="11" t="s">
        <v>261</v>
      </c>
      <c r="Z152" s="11" t="s">
        <v>261</v>
      </c>
      <c r="AA152" s="11" t="s">
        <v>261</v>
      </c>
      <c r="AB152" s="11" t="s">
        <v>583</v>
      </c>
      <c r="AC152" s="11" t="s">
        <v>261</v>
      </c>
      <c r="AD152" s="11" t="s">
        <v>261</v>
      </c>
      <c r="AE152" s="11" t="s">
        <v>551</v>
      </c>
      <c r="AF152" s="12" t="s">
        <v>261</v>
      </c>
      <c r="AG152" s="11" t="s">
        <v>261</v>
      </c>
    </row>
    <row r="153" spans="1:33" ht="30" hidden="1" x14ac:dyDescent="0.25">
      <c r="A153" s="11">
        <v>1</v>
      </c>
      <c r="B153" s="3" t="s">
        <v>261</v>
      </c>
      <c r="C153" s="11">
        <v>205124</v>
      </c>
      <c r="D153" s="11" t="s">
        <v>435</v>
      </c>
      <c r="E153" s="11" t="str">
        <f>MID(Table2[[#This Row],[تاريخ تاييد]],1,7)</f>
        <v>1403/09</v>
      </c>
      <c r="F153" s="11" t="str">
        <f>MID(Table2[[#This Row],[تاريخ تاييد]],6,2)</f>
        <v>09</v>
      </c>
      <c r="G153" s="11" t="str">
        <f>LEFT(Table2[[#This Row],[تاريخ تاييد]],4)</f>
        <v>1403</v>
      </c>
      <c r="H153" s="11" t="str">
        <f>VLOOKUP(Table2[[#This Row],[شماره فني]],Sheet7!A:C,3,0)</f>
        <v>جلو آمپر</v>
      </c>
      <c r="I153" s="11" t="str">
        <f>VLOOKUP(Table2[[#This Row],[شماره فني]],Sheet7!A:B,2,0)</f>
        <v>جلو آمپر دنا ST</v>
      </c>
      <c r="J153" s="11" t="s">
        <v>436</v>
      </c>
      <c r="K153" s="11" t="s">
        <v>729</v>
      </c>
      <c r="L153" s="11" t="s">
        <v>23</v>
      </c>
      <c r="M153" s="11" t="s">
        <v>444</v>
      </c>
      <c r="N153" s="11" t="s">
        <v>261</v>
      </c>
      <c r="O153" s="11" t="s">
        <v>261</v>
      </c>
      <c r="P153" s="11" t="s">
        <v>261</v>
      </c>
      <c r="Q153" s="11" t="s">
        <v>261</v>
      </c>
      <c r="R153" s="11" t="s">
        <v>418</v>
      </c>
      <c r="S153" s="11" t="s">
        <v>639</v>
      </c>
      <c r="T153" s="11" t="s">
        <v>817</v>
      </c>
      <c r="U153" s="11" t="s">
        <v>809</v>
      </c>
      <c r="V153" s="11" t="s">
        <v>564</v>
      </c>
      <c r="W153" s="11">
        <v>1</v>
      </c>
      <c r="X153" s="11" t="s">
        <v>96</v>
      </c>
      <c r="Y153" s="11" t="s">
        <v>261</v>
      </c>
      <c r="Z153" s="11" t="s">
        <v>392</v>
      </c>
      <c r="AA153" s="11" t="s">
        <v>66</v>
      </c>
      <c r="AB153" s="11" t="s">
        <v>29</v>
      </c>
      <c r="AC153" s="11" t="s">
        <v>261</v>
      </c>
      <c r="AD153" s="11" t="s">
        <v>261</v>
      </c>
      <c r="AE153" s="11" t="s">
        <v>551</v>
      </c>
      <c r="AF153" s="12" t="s">
        <v>261</v>
      </c>
      <c r="AG153" s="11" t="s">
        <v>261</v>
      </c>
    </row>
    <row r="154" spans="1:33" ht="45" hidden="1" x14ac:dyDescent="0.25">
      <c r="A154" s="11">
        <v>1</v>
      </c>
      <c r="B154" s="3" t="s">
        <v>261</v>
      </c>
      <c r="C154" s="11">
        <v>205257</v>
      </c>
      <c r="D154" s="11" t="s">
        <v>449</v>
      </c>
      <c r="E154" s="11" t="str">
        <f>MID(Table2[[#This Row],[تاريخ تاييد]],1,7)</f>
        <v>1403/09</v>
      </c>
      <c r="F154" s="11" t="str">
        <f>MID(Table2[[#This Row],[تاريخ تاييد]],6,2)</f>
        <v>09</v>
      </c>
      <c r="G154" s="11" t="str">
        <f>LEFT(Table2[[#This Row],[تاريخ تاييد]],4)</f>
        <v>1403</v>
      </c>
      <c r="H154" s="11" t="str">
        <f>VLOOKUP(Table2[[#This Row],[شماره فني]],Sheet7!A:C,3,0)</f>
        <v>کلید شیشه بالابر</v>
      </c>
      <c r="I154" s="11" t="str">
        <f>VLOOKUP(Table2[[#This Row],[شماره فني]],Sheet7!A:B,2,0)</f>
        <v>کلید شیشه بالابر جلو چپ سورن</v>
      </c>
      <c r="J154" s="11" t="s">
        <v>450</v>
      </c>
      <c r="K154" s="11" t="s">
        <v>334</v>
      </c>
      <c r="L154" s="11" t="s">
        <v>261</v>
      </c>
      <c r="M154" s="11" t="s">
        <v>261</v>
      </c>
      <c r="N154" s="11" t="s">
        <v>261</v>
      </c>
      <c r="O154" s="11" t="s">
        <v>261</v>
      </c>
      <c r="P154" s="11" t="s">
        <v>261</v>
      </c>
      <c r="Q154" s="11" t="s">
        <v>261</v>
      </c>
      <c r="R154" s="11" t="s">
        <v>961</v>
      </c>
      <c r="S154" s="11" t="s">
        <v>261</v>
      </c>
      <c r="T154" s="11" t="s">
        <v>261</v>
      </c>
      <c r="U154" s="11" t="s">
        <v>552</v>
      </c>
      <c r="V154" s="11" t="s">
        <v>784</v>
      </c>
      <c r="W154" s="11">
        <v>1</v>
      </c>
      <c r="X154" s="11" t="s">
        <v>306</v>
      </c>
      <c r="Y154" s="11" t="s">
        <v>261</v>
      </c>
      <c r="Z154" s="11" t="s">
        <v>261</v>
      </c>
      <c r="AA154" s="11" t="s">
        <v>261</v>
      </c>
      <c r="AB154" s="11" t="s">
        <v>583</v>
      </c>
      <c r="AC154" s="11" t="s">
        <v>261</v>
      </c>
      <c r="AD154" s="11" t="s">
        <v>261</v>
      </c>
      <c r="AE154" s="11" t="s">
        <v>551</v>
      </c>
      <c r="AF154" s="12" t="s">
        <v>261</v>
      </c>
      <c r="AG154" s="11" t="s">
        <v>261</v>
      </c>
    </row>
    <row r="155" spans="1:33" ht="30" hidden="1" x14ac:dyDescent="0.25">
      <c r="A155" s="11">
        <v>1</v>
      </c>
      <c r="B155" s="3" t="s">
        <v>261</v>
      </c>
      <c r="C155" s="11">
        <v>205317</v>
      </c>
      <c r="D155" s="11" t="s">
        <v>437</v>
      </c>
      <c r="E155" s="11" t="str">
        <f>MID(Table2[[#This Row],[تاريخ تاييد]],1,7)</f>
        <v>1403/09</v>
      </c>
      <c r="F155" s="11" t="str">
        <f>MID(Table2[[#This Row],[تاريخ تاييد]],6,2)</f>
        <v>09</v>
      </c>
      <c r="G155" s="11" t="str">
        <f>LEFT(Table2[[#This Row],[تاريخ تاييد]],4)</f>
        <v>1403</v>
      </c>
      <c r="H155" s="11" t="str">
        <f>VLOOKUP(Table2[[#This Row],[شماره فني]],Sheet7!A:C,3,0)</f>
        <v>جلو آمپر</v>
      </c>
      <c r="I155" s="11" t="str">
        <f>VLOOKUP(Table2[[#This Row],[شماره فني]],Sheet7!A:B,2,0)</f>
        <v>جلو آمپر تارا اتوماتیک</v>
      </c>
      <c r="J155" s="11" t="s">
        <v>438</v>
      </c>
      <c r="K155" s="11" t="s">
        <v>335</v>
      </c>
      <c r="L155" s="11" t="s">
        <v>23</v>
      </c>
      <c r="M155" s="11" t="s">
        <v>449</v>
      </c>
      <c r="N155" s="11" t="s">
        <v>261</v>
      </c>
      <c r="O155" s="11" t="s">
        <v>261</v>
      </c>
      <c r="P155" s="11" t="s">
        <v>261</v>
      </c>
      <c r="Q155" s="11" t="s">
        <v>261</v>
      </c>
      <c r="R155" s="11" t="s">
        <v>964</v>
      </c>
      <c r="S155" s="11" t="s">
        <v>578</v>
      </c>
      <c r="T155" s="11" t="s">
        <v>801</v>
      </c>
      <c r="U155" s="11" t="s">
        <v>813</v>
      </c>
      <c r="V155" s="11" t="s">
        <v>563</v>
      </c>
      <c r="W155" s="11">
        <v>1</v>
      </c>
      <c r="X155" s="11" t="s">
        <v>20</v>
      </c>
      <c r="Y155" s="11" t="s">
        <v>261</v>
      </c>
      <c r="Z155" s="11" t="s">
        <v>449</v>
      </c>
      <c r="AA155" s="11" t="s">
        <v>66</v>
      </c>
      <c r="AB155" s="11" t="s">
        <v>27</v>
      </c>
      <c r="AC155" s="11" t="s">
        <v>987</v>
      </c>
      <c r="AD155" s="11" t="s">
        <v>261</v>
      </c>
      <c r="AE155" s="11" t="s">
        <v>551</v>
      </c>
      <c r="AF155" s="12" t="s">
        <v>965</v>
      </c>
      <c r="AG155" s="11" t="s">
        <v>261</v>
      </c>
    </row>
    <row r="156" spans="1:33" ht="45" hidden="1" x14ac:dyDescent="0.25">
      <c r="A156" s="11">
        <v>1</v>
      </c>
      <c r="B156" s="3" t="s">
        <v>261</v>
      </c>
      <c r="C156" s="11">
        <v>205346</v>
      </c>
      <c r="D156" s="11" t="s">
        <v>437</v>
      </c>
      <c r="E156" s="11" t="str">
        <f>MID(Table2[[#This Row],[تاريخ تاييد]],1,7)</f>
        <v>1403/09</v>
      </c>
      <c r="F156" s="11" t="str">
        <f>MID(Table2[[#This Row],[تاريخ تاييد]],6,2)</f>
        <v>09</v>
      </c>
      <c r="G156" s="11" t="str">
        <f>LEFT(Table2[[#This Row],[تاريخ تاييد]],4)</f>
        <v>1403</v>
      </c>
      <c r="H156" s="11" t="str">
        <f>VLOOKUP(Table2[[#This Row],[شماره فني]],Sheet7!A:C,3,0)</f>
        <v>جلو آمپر</v>
      </c>
      <c r="I156" s="11" t="str">
        <f>VLOOKUP(Table2[[#This Row],[شماره فني]],Sheet7!A:B,2,0)</f>
        <v>جلو آمپر دنا ST</v>
      </c>
      <c r="J156" s="11" t="s">
        <v>439</v>
      </c>
      <c r="K156" s="11" t="s">
        <v>724</v>
      </c>
      <c r="L156" s="11" t="s">
        <v>261</v>
      </c>
      <c r="M156" s="11" t="s">
        <v>261</v>
      </c>
      <c r="N156" s="11" t="s">
        <v>261</v>
      </c>
      <c r="O156" s="11" t="s">
        <v>261</v>
      </c>
      <c r="P156" s="11" t="s">
        <v>261</v>
      </c>
      <c r="Q156" s="11" t="s">
        <v>261</v>
      </c>
      <c r="R156" s="11" t="s">
        <v>961</v>
      </c>
      <c r="S156" s="11" t="s">
        <v>261</v>
      </c>
      <c r="T156" s="11" t="s">
        <v>261</v>
      </c>
      <c r="U156" s="11" t="s">
        <v>552</v>
      </c>
      <c r="V156" s="11" t="s">
        <v>784</v>
      </c>
      <c r="W156" s="11">
        <v>1</v>
      </c>
      <c r="X156" s="11" t="s">
        <v>96</v>
      </c>
      <c r="Y156" s="11" t="s">
        <v>261</v>
      </c>
      <c r="Z156" s="11" t="s">
        <v>261</v>
      </c>
      <c r="AA156" s="11" t="s">
        <v>261</v>
      </c>
      <c r="AB156" s="11" t="s">
        <v>583</v>
      </c>
      <c r="AC156" s="11" t="s">
        <v>261</v>
      </c>
      <c r="AD156" s="11" t="s">
        <v>261</v>
      </c>
      <c r="AE156" s="11" t="s">
        <v>551</v>
      </c>
      <c r="AF156" s="12" t="s">
        <v>261</v>
      </c>
      <c r="AG156" s="11" t="s">
        <v>261</v>
      </c>
    </row>
    <row r="157" spans="1:33" ht="45" hidden="1" x14ac:dyDescent="0.25">
      <c r="A157" s="11">
        <v>1</v>
      </c>
      <c r="B157" s="3" t="s">
        <v>261</v>
      </c>
      <c r="C157" s="11">
        <v>205405</v>
      </c>
      <c r="D157" s="11" t="s">
        <v>440</v>
      </c>
      <c r="E157" s="11" t="str">
        <f>MID(Table2[[#This Row],[تاريخ تاييد]],1,7)</f>
        <v>1403/09</v>
      </c>
      <c r="F157" s="11" t="str">
        <f>MID(Table2[[#This Row],[تاريخ تاييد]],6,2)</f>
        <v>09</v>
      </c>
      <c r="G157" s="11" t="str">
        <f>LEFT(Table2[[#This Row],[تاريخ تاييد]],4)</f>
        <v>1403</v>
      </c>
      <c r="H157" s="11" t="str">
        <f>VLOOKUP(Table2[[#This Row],[شماره فني]],Sheet7!A:C,3,0)</f>
        <v>جلو آمپر</v>
      </c>
      <c r="I157" s="11" t="str">
        <f>VLOOKUP(Table2[[#This Row],[شماره فني]],Sheet7!A:B,2,0)</f>
        <v>جلو آمپر دنا اتوماتیک</v>
      </c>
      <c r="J157" s="11" t="s">
        <v>441</v>
      </c>
      <c r="K157" s="11" t="s">
        <v>334</v>
      </c>
      <c r="L157" s="11" t="s">
        <v>261</v>
      </c>
      <c r="M157" s="11" t="s">
        <v>261</v>
      </c>
      <c r="N157" s="11" t="s">
        <v>261</v>
      </c>
      <c r="O157" s="11" t="s">
        <v>261</v>
      </c>
      <c r="P157" s="11" t="s">
        <v>261</v>
      </c>
      <c r="Q157" s="11" t="s">
        <v>261</v>
      </c>
      <c r="R157" s="11" t="s">
        <v>961</v>
      </c>
      <c r="S157" s="11" t="s">
        <v>261</v>
      </c>
      <c r="T157" s="11" t="s">
        <v>261</v>
      </c>
      <c r="U157" s="11" t="s">
        <v>552</v>
      </c>
      <c r="V157" s="11" t="s">
        <v>784</v>
      </c>
      <c r="W157" s="11">
        <v>1</v>
      </c>
      <c r="X157" s="11" t="s">
        <v>21</v>
      </c>
      <c r="Y157" s="11" t="s">
        <v>261</v>
      </c>
      <c r="Z157" s="11" t="s">
        <v>261</v>
      </c>
      <c r="AA157" s="11" t="s">
        <v>261</v>
      </c>
      <c r="AB157" s="11" t="s">
        <v>583</v>
      </c>
      <c r="AC157" s="11" t="s">
        <v>261</v>
      </c>
      <c r="AD157" s="11" t="s">
        <v>261</v>
      </c>
      <c r="AE157" s="11" t="s">
        <v>551</v>
      </c>
      <c r="AF157" s="12" t="s">
        <v>261</v>
      </c>
      <c r="AG157" s="11" t="s">
        <v>261</v>
      </c>
    </row>
    <row r="158" spans="1:33" ht="45" hidden="1" x14ac:dyDescent="0.25">
      <c r="A158" s="11">
        <v>1</v>
      </c>
      <c r="B158" s="3" t="s">
        <v>261</v>
      </c>
      <c r="C158" s="11">
        <v>205646</v>
      </c>
      <c r="D158" s="11" t="s">
        <v>442</v>
      </c>
      <c r="E158" s="11" t="str">
        <f>MID(Table2[[#This Row],[تاريخ تاييد]],1,7)</f>
        <v>1403/09</v>
      </c>
      <c r="F158" s="11" t="str">
        <f>MID(Table2[[#This Row],[تاريخ تاييد]],6,2)</f>
        <v>09</v>
      </c>
      <c r="G158" s="11" t="str">
        <f>LEFT(Table2[[#This Row],[تاريخ تاييد]],4)</f>
        <v>1403</v>
      </c>
      <c r="H158" s="11" t="str">
        <f>VLOOKUP(Table2[[#This Row],[شماره فني]],Sheet7!A:C,3,0)</f>
        <v>جلو آمپر</v>
      </c>
      <c r="I158" s="11" t="str">
        <f>VLOOKUP(Table2[[#This Row],[شماره فني]],Sheet7!A:B,2,0)</f>
        <v>جلو آمپر دنا ST</v>
      </c>
      <c r="J158" s="11" t="s">
        <v>443</v>
      </c>
      <c r="K158" s="11" t="s">
        <v>231</v>
      </c>
      <c r="L158" s="11" t="s">
        <v>261</v>
      </c>
      <c r="M158" s="11" t="s">
        <v>261</v>
      </c>
      <c r="N158" s="11" t="s">
        <v>261</v>
      </c>
      <c r="O158" s="11" t="s">
        <v>261</v>
      </c>
      <c r="P158" s="11" t="s">
        <v>261</v>
      </c>
      <c r="Q158" s="11" t="s">
        <v>261</v>
      </c>
      <c r="R158" s="11" t="s">
        <v>961</v>
      </c>
      <c r="S158" s="11" t="s">
        <v>261</v>
      </c>
      <c r="T158" s="11" t="s">
        <v>261</v>
      </c>
      <c r="U158" s="11" t="s">
        <v>552</v>
      </c>
      <c r="V158" s="11" t="s">
        <v>784</v>
      </c>
      <c r="W158" s="11">
        <v>1</v>
      </c>
      <c r="X158" s="11" t="s">
        <v>96</v>
      </c>
      <c r="Y158" s="11" t="s">
        <v>261</v>
      </c>
      <c r="Z158" s="11" t="s">
        <v>261</v>
      </c>
      <c r="AA158" s="11" t="s">
        <v>261</v>
      </c>
      <c r="AB158" s="11" t="s">
        <v>583</v>
      </c>
      <c r="AC158" s="11" t="s">
        <v>261</v>
      </c>
      <c r="AD158" s="11" t="s">
        <v>261</v>
      </c>
      <c r="AE158" s="11" t="s">
        <v>551</v>
      </c>
      <c r="AF158" s="12" t="s">
        <v>261</v>
      </c>
      <c r="AG158" s="11" t="s">
        <v>261</v>
      </c>
    </row>
    <row r="159" spans="1:33" ht="30" hidden="1" x14ac:dyDescent="0.25">
      <c r="A159" s="11">
        <v>1</v>
      </c>
      <c r="B159" s="3" t="s">
        <v>261</v>
      </c>
      <c r="C159" s="11">
        <v>206009</v>
      </c>
      <c r="D159" s="11" t="s">
        <v>451</v>
      </c>
      <c r="E159" s="11" t="str">
        <f>MID(Table2[[#This Row],[تاريخ تاييد]],1,7)</f>
        <v>1403/09</v>
      </c>
      <c r="F159" s="11" t="str">
        <f>MID(Table2[[#This Row],[تاريخ تاييد]],6,2)</f>
        <v>09</v>
      </c>
      <c r="G159" s="11" t="str">
        <f>LEFT(Table2[[#This Row],[تاريخ تاييد]],4)</f>
        <v>1403</v>
      </c>
      <c r="H159" s="11" t="str">
        <f>VLOOKUP(Table2[[#This Row],[شماره فني]],Sheet7!A:C,3,0)</f>
        <v>جلو آمپر</v>
      </c>
      <c r="I159" s="11" t="str">
        <f>VLOOKUP(Table2[[#This Row],[شماره فني]],Sheet7!A:B,2,0)</f>
        <v>جلو آمپر207  معمولی85 گانه</v>
      </c>
      <c r="J159" s="11" t="s">
        <v>452</v>
      </c>
      <c r="K159" s="11" t="s">
        <v>335</v>
      </c>
      <c r="L159" s="11" t="s">
        <v>22</v>
      </c>
      <c r="M159" s="11" t="s">
        <v>449</v>
      </c>
      <c r="N159" s="11" t="s">
        <v>261</v>
      </c>
      <c r="O159" s="11" t="s">
        <v>261</v>
      </c>
      <c r="P159" s="11" t="s">
        <v>261</v>
      </c>
      <c r="Q159" s="11" t="s">
        <v>261</v>
      </c>
      <c r="R159" s="11" t="s">
        <v>964</v>
      </c>
      <c r="S159" s="11" t="s">
        <v>479</v>
      </c>
      <c r="T159" s="11" t="s">
        <v>801</v>
      </c>
      <c r="U159" s="11" t="s">
        <v>813</v>
      </c>
      <c r="V159" s="11" t="s">
        <v>563</v>
      </c>
      <c r="W159" s="11">
        <v>1</v>
      </c>
      <c r="X159" s="11" t="s">
        <v>30</v>
      </c>
      <c r="Y159" s="11" t="s">
        <v>478</v>
      </c>
      <c r="Z159" s="11" t="s">
        <v>449</v>
      </c>
      <c r="AA159" s="11" t="s">
        <v>66</v>
      </c>
      <c r="AB159" s="11" t="s">
        <v>27</v>
      </c>
      <c r="AC159" s="11" t="s">
        <v>987</v>
      </c>
      <c r="AD159" s="11" t="s">
        <v>261</v>
      </c>
      <c r="AE159" s="11" t="s">
        <v>551</v>
      </c>
      <c r="AF159" s="12" t="s">
        <v>965</v>
      </c>
      <c r="AG159" s="11" t="s">
        <v>261</v>
      </c>
    </row>
    <row r="160" spans="1:33" ht="30" hidden="1" x14ac:dyDescent="0.25">
      <c r="A160" s="11">
        <v>1</v>
      </c>
      <c r="B160" s="3" t="s">
        <v>261</v>
      </c>
      <c r="C160" s="11">
        <v>206254</v>
      </c>
      <c r="D160" s="11" t="s">
        <v>453</v>
      </c>
      <c r="E160" s="11" t="str">
        <f>MID(Table2[[#This Row],[تاريخ تاييد]],1,7)</f>
        <v>1403/09</v>
      </c>
      <c r="F160" s="11" t="str">
        <f>MID(Table2[[#This Row],[تاريخ تاييد]],6,2)</f>
        <v>09</v>
      </c>
      <c r="G160" s="11" t="str">
        <f>LEFT(Table2[[#This Row],[تاريخ تاييد]],4)</f>
        <v>1403</v>
      </c>
      <c r="H160" s="11" t="str">
        <f>VLOOKUP(Table2[[#This Row],[شماره فني]],Sheet7!A:C,3,0)</f>
        <v>NOD</v>
      </c>
      <c r="I160" s="11" t="str">
        <f>VLOOKUP(Table2[[#This Row],[شماره فني]],Sheet7!A:B,2,0)</f>
        <v>NBCM TARA SAL</v>
      </c>
      <c r="J160" s="11" t="s">
        <v>454</v>
      </c>
      <c r="K160" s="11" t="s">
        <v>334</v>
      </c>
      <c r="L160" s="11" t="s">
        <v>22</v>
      </c>
      <c r="M160" s="11" t="s">
        <v>449</v>
      </c>
      <c r="N160" s="11" t="s">
        <v>261</v>
      </c>
      <c r="O160" s="11" t="s">
        <v>261</v>
      </c>
      <c r="P160" s="11" t="s">
        <v>261</v>
      </c>
      <c r="Q160" s="11" t="s">
        <v>261</v>
      </c>
      <c r="R160" s="11" t="s">
        <v>487</v>
      </c>
      <c r="S160" s="11" t="s">
        <v>488</v>
      </c>
      <c r="T160" s="11" t="s">
        <v>799</v>
      </c>
      <c r="U160" s="11" t="s">
        <v>811</v>
      </c>
      <c r="V160" s="11" t="s">
        <v>579</v>
      </c>
      <c r="W160" s="11">
        <v>1</v>
      </c>
      <c r="X160" s="11" t="s">
        <v>95</v>
      </c>
      <c r="Y160" s="11" t="s">
        <v>261</v>
      </c>
      <c r="Z160" s="11" t="s">
        <v>449</v>
      </c>
      <c r="AA160" s="11" t="s">
        <v>66</v>
      </c>
      <c r="AB160" s="11" t="s">
        <v>27</v>
      </c>
      <c r="AC160" s="11" t="s">
        <v>989</v>
      </c>
      <c r="AD160" s="11" t="s">
        <v>261</v>
      </c>
      <c r="AE160" s="11" t="s">
        <v>551</v>
      </c>
      <c r="AF160" s="12" t="s">
        <v>261</v>
      </c>
      <c r="AG160" s="11" t="s">
        <v>261</v>
      </c>
    </row>
    <row r="161" spans="1:33" ht="30" hidden="1" x14ac:dyDescent="0.25">
      <c r="A161" s="11">
        <v>1</v>
      </c>
      <c r="B161" s="3" t="s">
        <v>261</v>
      </c>
      <c r="C161" s="11">
        <v>206256</v>
      </c>
      <c r="D161" s="11" t="s">
        <v>453</v>
      </c>
      <c r="E161" s="11" t="str">
        <f>MID(Table2[[#This Row],[تاريخ تاييد]],1,7)</f>
        <v>1403/09</v>
      </c>
      <c r="F161" s="11" t="str">
        <f>MID(Table2[[#This Row],[تاريخ تاييد]],6,2)</f>
        <v>09</v>
      </c>
      <c r="G161" s="11" t="str">
        <f>LEFT(Table2[[#This Row],[تاريخ تاييد]],4)</f>
        <v>1403</v>
      </c>
      <c r="H161" s="11" t="str">
        <f>VLOOKUP(Table2[[#This Row],[شماره فني]],Sheet7!A:C,3,0)</f>
        <v>جلو آمپر</v>
      </c>
      <c r="I161" s="11" t="str">
        <f>VLOOKUP(Table2[[#This Row],[شماره فني]],Sheet7!A:B,2,0)</f>
        <v>جلو آمپر دنا ST</v>
      </c>
      <c r="J161" s="11" t="s">
        <v>455</v>
      </c>
      <c r="K161" s="11" t="s">
        <v>335</v>
      </c>
      <c r="L161" s="11" t="s">
        <v>22</v>
      </c>
      <c r="M161" s="11" t="s">
        <v>449</v>
      </c>
      <c r="N161" s="11" t="s">
        <v>261</v>
      </c>
      <c r="O161" s="11" t="s">
        <v>261</v>
      </c>
      <c r="P161" s="11" t="s">
        <v>261</v>
      </c>
      <c r="Q161" s="11" t="s">
        <v>261</v>
      </c>
      <c r="R161" s="11" t="s">
        <v>167</v>
      </c>
      <c r="S161" s="11" t="s">
        <v>476</v>
      </c>
      <c r="T161" s="11" t="s">
        <v>801</v>
      </c>
      <c r="U161" s="11" t="s">
        <v>797</v>
      </c>
      <c r="V161" s="11" t="s">
        <v>561</v>
      </c>
      <c r="W161" s="11">
        <v>1</v>
      </c>
      <c r="X161" s="11" t="s">
        <v>96</v>
      </c>
      <c r="Y161" s="11" t="s">
        <v>477</v>
      </c>
      <c r="Z161" s="11" t="s">
        <v>449</v>
      </c>
      <c r="AA161" s="11" t="s">
        <v>66</v>
      </c>
      <c r="AB161" s="11" t="s">
        <v>28</v>
      </c>
      <c r="AC161" s="11" t="s">
        <v>261</v>
      </c>
      <c r="AD161" s="11" t="s">
        <v>261</v>
      </c>
      <c r="AE161" s="11" t="s">
        <v>551</v>
      </c>
      <c r="AF161" s="12" t="s">
        <v>261</v>
      </c>
      <c r="AG161" s="11" t="s">
        <v>261</v>
      </c>
    </row>
    <row r="162" spans="1:33" ht="105" hidden="1" x14ac:dyDescent="0.25">
      <c r="A162" s="11">
        <v>1</v>
      </c>
      <c r="B162" s="3" t="s">
        <v>261</v>
      </c>
      <c r="C162" s="11">
        <v>206315</v>
      </c>
      <c r="D162" s="11" t="s">
        <v>456</v>
      </c>
      <c r="E162" s="11" t="str">
        <f>MID(Table2[[#This Row],[تاريخ تاييد]],1,7)</f>
        <v>1403/10</v>
      </c>
      <c r="F162" s="11" t="str">
        <f>MID(Table2[[#This Row],[تاريخ تاييد]],6,2)</f>
        <v>10</v>
      </c>
      <c r="G162" s="11" t="str">
        <f>LEFT(Table2[[#This Row],[تاريخ تاييد]],4)</f>
        <v>1403</v>
      </c>
      <c r="H162" s="11" t="str">
        <f>VLOOKUP(Table2[[#This Row],[شماره فني]],Sheet7!A:C,3,0)</f>
        <v>NOD</v>
      </c>
      <c r="I162" s="11" t="str">
        <f>VLOOKUP(Table2[[#This Row],[شماره فني]],Sheet7!A:B,2,0)</f>
        <v>NBCM TARA SAL</v>
      </c>
      <c r="J162" s="11" t="s">
        <v>457</v>
      </c>
      <c r="K162" s="11" t="s">
        <v>334</v>
      </c>
      <c r="L162" s="11" t="s">
        <v>22</v>
      </c>
      <c r="M162" s="11" t="s">
        <v>449</v>
      </c>
      <c r="N162" s="11" t="s">
        <v>261</v>
      </c>
      <c r="O162" s="11" t="s">
        <v>261</v>
      </c>
      <c r="P162" s="11" t="s">
        <v>261</v>
      </c>
      <c r="Q162" s="11" t="s">
        <v>261</v>
      </c>
      <c r="R162" s="11" t="s">
        <v>489</v>
      </c>
      <c r="S162" s="11" t="s">
        <v>490</v>
      </c>
      <c r="T162" s="11" t="s">
        <v>985</v>
      </c>
      <c r="U162" s="11" t="s">
        <v>585</v>
      </c>
      <c r="V162" s="11" t="s">
        <v>586</v>
      </c>
      <c r="W162" s="11">
        <v>1</v>
      </c>
      <c r="X162" s="11" t="s">
        <v>95</v>
      </c>
      <c r="Y162" s="11" t="s">
        <v>261</v>
      </c>
      <c r="Z162" s="11" t="s">
        <v>261</v>
      </c>
      <c r="AA162" s="11" t="s">
        <v>261</v>
      </c>
      <c r="AB162" s="11" t="s">
        <v>26</v>
      </c>
      <c r="AC162" s="11" t="s">
        <v>261</v>
      </c>
      <c r="AD162" s="11" t="s">
        <v>583</v>
      </c>
      <c r="AE162" s="11" t="s">
        <v>551</v>
      </c>
      <c r="AF162" s="12" t="s">
        <v>261</v>
      </c>
      <c r="AG162" s="11" t="s">
        <v>261</v>
      </c>
    </row>
    <row r="163" spans="1:33" ht="45" hidden="1" x14ac:dyDescent="0.25">
      <c r="A163" s="11">
        <v>1</v>
      </c>
      <c r="B163" s="3" t="s">
        <v>261</v>
      </c>
      <c r="C163" s="11">
        <v>206366</v>
      </c>
      <c r="D163" s="11" t="s">
        <v>458</v>
      </c>
      <c r="E163" s="11" t="str">
        <f>MID(Table2[[#This Row],[تاريخ تاييد]],1,7)</f>
        <v>1403/09</v>
      </c>
      <c r="F163" s="11" t="str">
        <f>MID(Table2[[#This Row],[تاريخ تاييد]],6,2)</f>
        <v>09</v>
      </c>
      <c r="G163" s="11" t="str">
        <f>LEFT(Table2[[#This Row],[تاريخ تاييد]],4)</f>
        <v>1403</v>
      </c>
      <c r="H163" s="11" t="str">
        <f>VLOOKUP(Table2[[#This Row],[شماره فني]],Sheet7!A:C,3,0)</f>
        <v>NOD</v>
      </c>
      <c r="I163" s="11" t="str">
        <f>VLOOKUP(Table2[[#This Row],[شماره فني]],Sheet7!A:B,2,0)</f>
        <v>NBCM SOREN</v>
      </c>
      <c r="J163" s="11" t="s">
        <v>459</v>
      </c>
      <c r="K163" s="11" t="s">
        <v>230</v>
      </c>
      <c r="L163" s="11" t="s">
        <v>261</v>
      </c>
      <c r="M163" s="11" t="s">
        <v>261</v>
      </c>
      <c r="N163" s="11" t="s">
        <v>261</v>
      </c>
      <c r="O163" s="11" t="s">
        <v>261</v>
      </c>
      <c r="P163" s="11" t="s">
        <v>261</v>
      </c>
      <c r="Q163" s="11" t="s">
        <v>261</v>
      </c>
      <c r="R163" s="11" t="s">
        <v>961</v>
      </c>
      <c r="S163" s="11" t="s">
        <v>261</v>
      </c>
      <c r="T163" s="11" t="s">
        <v>261</v>
      </c>
      <c r="U163" s="11" t="s">
        <v>552</v>
      </c>
      <c r="V163" s="11" t="s">
        <v>784</v>
      </c>
      <c r="W163" s="11">
        <v>2</v>
      </c>
      <c r="X163" s="11" t="s">
        <v>208</v>
      </c>
      <c r="Y163" s="11" t="s">
        <v>261</v>
      </c>
      <c r="Z163" s="11" t="s">
        <v>261</v>
      </c>
      <c r="AA163" s="11" t="s">
        <v>261</v>
      </c>
      <c r="AB163" s="11" t="s">
        <v>583</v>
      </c>
      <c r="AC163" s="11" t="s">
        <v>261</v>
      </c>
      <c r="AD163" s="11" t="s">
        <v>261</v>
      </c>
      <c r="AE163" s="11" t="s">
        <v>551</v>
      </c>
      <c r="AF163" s="12" t="s">
        <v>261</v>
      </c>
      <c r="AG163" s="11" t="s">
        <v>261</v>
      </c>
    </row>
    <row r="164" spans="1:33" ht="30" hidden="1" x14ac:dyDescent="0.25">
      <c r="A164" s="11">
        <v>1</v>
      </c>
      <c r="B164" s="3" t="s">
        <v>261</v>
      </c>
      <c r="C164" s="11">
        <v>206388</v>
      </c>
      <c r="D164" s="11" t="s">
        <v>456</v>
      </c>
      <c r="E164" s="11" t="str">
        <f>MID(Table2[[#This Row],[تاريخ تاييد]],1,7)</f>
        <v>1403/10</v>
      </c>
      <c r="F164" s="11" t="str">
        <f>MID(Table2[[#This Row],[تاريخ تاييد]],6,2)</f>
        <v>10</v>
      </c>
      <c r="G164" s="11" t="str">
        <f>LEFT(Table2[[#This Row],[تاريخ تاييد]],4)</f>
        <v>1403</v>
      </c>
      <c r="H164" s="11" t="str">
        <f>VLOOKUP(Table2[[#This Row],[شماره فني]],Sheet7!A:C,3,0)</f>
        <v>جلو آمپر</v>
      </c>
      <c r="I164" s="11" t="str">
        <f>VLOOKUP(Table2[[#This Row],[شماره فني]],Sheet7!A:B,2,0)</f>
        <v>جلو آمپر207 اتوماتیک85 گانه</v>
      </c>
      <c r="J164" s="11" t="s">
        <v>460</v>
      </c>
      <c r="K164" s="11" t="s">
        <v>231</v>
      </c>
      <c r="L164" s="11" t="s">
        <v>22</v>
      </c>
      <c r="M164" s="11" t="s">
        <v>449</v>
      </c>
      <c r="N164" s="11" t="s">
        <v>261</v>
      </c>
      <c r="O164" s="11" t="s">
        <v>261</v>
      </c>
      <c r="P164" s="11" t="s">
        <v>261</v>
      </c>
      <c r="Q164" s="11" t="s">
        <v>261</v>
      </c>
      <c r="R164" s="11" t="s">
        <v>486</v>
      </c>
      <c r="S164" s="11" t="s">
        <v>261</v>
      </c>
      <c r="T164" s="11" t="s">
        <v>231</v>
      </c>
      <c r="U164" s="11" t="s">
        <v>797</v>
      </c>
      <c r="V164" s="11" t="s">
        <v>561</v>
      </c>
      <c r="W164" s="11">
        <v>1</v>
      </c>
      <c r="X164" s="11" t="s">
        <v>31</v>
      </c>
      <c r="Y164" s="11" t="s">
        <v>261</v>
      </c>
      <c r="Z164" s="11" t="s">
        <v>449</v>
      </c>
      <c r="AA164" s="11" t="s">
        <v>66</v>
      </c>
      <c r="AB164" s="11" t="s">
        <v>28</v>
      </c>
      <c r="AC164" s="11" t="s">
        <v>261</v>
      </c>
      <c r="AD164" s="11" t="s">
        <v>261</v>
      </c>
      <c r="AE164" s="11" t="s">
        <v>551</v>
      </c>
      <c r="AF164" s="12" t="s">
        <v>261</v>
      </c>
      <c r="AG164" s="11" t="s">
        <v>261</v>
      </c>
    </row>
    <row r="165" spans="1:33" ht="45" hidden="1" x14ac:dyDescent="0.25">
      <c r="A165" s="11">
        <v>1</v>
      </c>
      <c r="B165" s="3" t="s">
        <v>261</v>
      </c>
      <c r="C165" s="11">
        <v>206397</v>
      </c>
      <c r="D165" s="11" t="s">
        <v>456</v>
      </c>
      <c r="E165" s="11" t="str">
        <f>MID(Table2[[#This Row],[تاريخ تاييد]],1,7)</f>
        <v>1403/10</v>
      </c>
      <c r="F165" s="11" t="str">
        <f>MID(Table2[[#This Row],[تاريخ تاييد]],6,2)</f>
        <v>10</v>
      </c>
      <c r="G165" s="11" t="str">
        <f>LEFT(Table2[[#This Row],[تاريخ تاييد]],4)</f>
        <v>1403</v>
      </c>
      <c r="H165" s="11" t="str">
        <f>VLOOKUP(Table2[[#This Row],[شماره فني]],Sheet7!A:C,3,0)</f>
        <v>کلید شیشه بالابر</v>
      </c>
      <c r="I165" s="11" t="str">
        <f>VLOOKUP(Table2[[#This Row],[شماره فني]],Sheet7!A:B,2,0)</f>
        <v>کلید شیشه بالابر جلو چپ سورن</v>
      </c>
      <c r="J165" s="11" t="s">
        <v>461</v>
      </c>
      <c r="K165" s="11" t="s">
        <v>334</v>
      </c>
      <c r="L165" s="11" t="s">
        <v>261</v>
      </c>
      <c r="M165" s="11" t="s">
        <v>261</v>
      </c>
      <c r="N165" s="11" t="s">
        <v>261</v>
      </c>
      <c r="O165" s="11" t="s">
        <v>261</v>
      </c>
      <c r="P165" s="11" t="s">
        <v>261</v>
      </c>
      <c r="Q165" s="11" t="s">
        <v>261</v>
      </c>
      <c r="R165" s="11" t="s">
        <v>961</v>
      </c>
      <c r="S165" s="11" t="s">
        <v>261</v>
      </c>
      <c r="T165" s="11" t="s">
        <v>261</v>
      </c>
      <c r="U165" s="11" t="s">
        <v>552</v>
      </c>
      <c r="V165" s="11" t="s">
        <v>784</v>
      </c>
      <c r="W165" s="11">
        <v>1</v>
      </c>
      <c r="X165" s="11" t="s">
        <v>306</v>
      </c>
      <c r="Y165" s="11" t="s">
        <v>261</v>
      </c>
      <c r="Z165" s="11" t="s">
        <v>261</v>
      </c>
      <c r="AA165" s="11" t="s">
        <v>261</v>
      </c>
      <c r="AB165" s="11" t="s">
        <v>583</v>
      </c>
      <c r="AC165" s="11" t="s">
        <v>261</v>
      </c>
      <c r="AD165" s="11" t="s">
        <v>261</v>
      </c>
      <c r="AE165" s="11" t="s">
        <v>551</v>
      </c>
      <c r="AF165" s="12" t="s">
        <v>261</v>
      </c>
      <c r="AG165" s="11" t="s">
        <v>261</v>
      </c>
    </row>
    <row r="166" spans="1:33" ht="45" hidden="1" x14ac:dyDescent="0.25">
      <c r="A166" s="11">
        <v>1</v>
      </c>
      <c r="B166" s="3" t="s">
        <v>261</v>
      </c>
      <c r="C166" s="11">
        <v>206439</v>
      </c>
      <c r="D166" s="11" t="s">
        <v>456</v>
      </c>
      <c r="E166" s="11" t="str">
        <f>MID(Table2[[#This Row],[تاريخ تاييد]],1,7)</f>
        <v>1403/10</v>
      </c>
      <c r="F166" s="11" t="str">
        <f>MID(Table2[[#This Row],[تاريخ تاييد]],6,2)</f>
        <v>10</v>
      </c>
      <c r="G166" s="11" t="str">
        <f>LEFT(Table2[[#This Row],[تاريخ تاييد]],4)</f>
        <v>1403</v>
      </c>
      <c r="H166" s="11" t="str">
        <f>VLOOKUP(Table2[[#This Row],[شماره فني]],Sheet7!A:C,3,0)</f>
        <v>NOD</v>
      </c>
      <c r="I166" s="11" t="str">
        <f>VLOOKUP(Table2[[#This Row],[شماره فني]],Sheet7!A:B,2,0)</f>
        <v>NBCM TARA SAL</v>
      </c>
      <c r="J166" s="11" t="s">
        <v>462</v>
      </c>
      <c r="K166" s="11" t="s">
        <v>726</v>
      </c>
      <c r="L166" s="11" t="s">
        <v>22</v>
      </c>
      <c r="M166" s="11" t="s">
        <v>491</v>
      </c>
      <c r="N166" s="11" t="s">
        <v>261</v>
      </c>
      <c r="O166" s="11" t="s">
        <v>261</v>
      </c>
      <c r="P166" s="11" t="s">
        <v>261</v>
      </c>
      <c r="Q166" s="11" t="s">
        <v>261</v>
      </c>
      <c r="R166" s="11" t="s">
        <v>528</v>
      </c>
      <c r="S166" s="11" t="s">
        <v>812</v>
      </c>
      <c r="T166" s="11" t="s">
        <v>527</v>
      </c>
      <c r="U166" s="11" t="s">
        <v>230</v>
      </c>
      <c r="V166" s="11" t="s">
        <v>561</v>
      </c>
      <c r="W166" s="11">
        <v>1</v>
      </c>
      <c r="X166" s="11" t="s">
        <v>95</v>
      </c>
      <c r="Y166" s="11" t="s">
        <v>261</v>
      </c>
      <c r="Z166" s="11" t="s">
        <v>491</v>
      </c>
      <c r="AA166" s="11" t="s">
        <v>66</v>
      </c>
      <c r="AB166" s="11" t="s">
        <v>28</v>
      </c>
      <c r="AC166" s="11" t="s">
        <v>261</v>
      </c>
      <c r="AD166" s="11" t="s">
        <v>261</v>
      </c>
      <c r="AE166" s="11" t="s">
        <v>551</v>
      </c>
      <c r="AF166" s="12" t="s">
        <v>261</v>
      </c>
      <c r="AG166" s="11" t="s">
        <v>261</v>
      </c>
    </row>
    <row r="167" spans="1:33" ht="30" hidden="1" x14ac:dyDescent="0.25">
      <c r="A167" s="11">
        <v>1</v>
      </c>
      <c r="B167" s="3" t="s">
        <v>261</v>
      </c>
      <c r="C167" s="11">
        <v>206682</v>
      </c>
      <c r="D167" s="11" t="s">
        <v>463</v>
      </c>
      <c r="E167" s="11" t="str">
        <f>MID(Table2[[#This Row],[تاريخ تاييد]],1,7)</f>
        <v>1403/10</v>
      </c>
      <c r="F167" s="11" t="str">
        <f>MID(Table2[[#This Row],[تاريخ تاييد]],6,2)</f>
        <v>10</v>
      </c>
      <c r="G167" s="11" t="str">
        <f>LEFT(Table2[[#This Row],[تاريخ تاييد]],4)</f>
        <v>1403</v>
      </c>
      <c r="H167" s="11" t="str">
        <f>VLOOKUP(Table2[[#This Row],[شماره فني]],Sheet7!A:C,3,0)</f>
        <v>NOD</v>
      </c>
      <c r="I167" s="11" t="str">
        <f>VLOOKUP(Table2[[#This Row],[شماره فني]],Sheet7!A:B,2,0)</f>
        <v>NBCM 207</v>
      </c>
      <c r="J167" s="11" t="s">
        <v>464</v>
      </c>
      <c r="K167" s="11" t="s">
        <v>334</v>
      </c>
      <c r="L167" s="11" t="s">
        <v>22</v>
      </c>
      <c r="M167" s="11" t="s">
        <v>491</v>
      </c>
      <c r="N167" s="11" t="s">
        <v>261</v>
      </c>
      <c r="O167" s="11" t="s">
        <v>261</v>
      </c>
      <c r="P167" s="11" t="s">
        <v>261</v>
      </c>
      <c r="Q167" s="11" t="s">
        <v>261</v>
      </c>
      <c r="R167" s="11" t="s">
        <v>492</v>
      </c>
      <c r="S167" s="11" t="s">
        <v>493</v>
      </c>
      <c r="T167" s="11" t="s">
        <v>799</v>
      </c>
      <c r="U167" s="11" t="s">
        <v>797</v>
      </c>
      <c r="V167" s="11" t="s">
        <v>561</v>
      </c>
      <c r="W167" s="11">
        <v>1</v>
      </c>
      <c r="X167" s="11" t="s">
        <v>19</v>
      </c>
      <c r="Y167" s="11" t="s">
        <v>261</v>
      </c>
      <c r="Z167" s="11" t="s">
        <v>491</v>
      </c>
      <c r="AA167" s="11" t="s">
        <v>66</v>
      </c>
      <c r="AB167" s="11" t="s">
        <v>28</v>
      </c>
      <c r="AC167" s="11" t="s">
        <v>261</v>
      </c>
      <c r="AD167" s="11" t="s">
        <v>261</v>
      </c>
      <c r="AE167" s="11" t="s">
        <v>551</v>
      </c>
      <c r="AF167" s="12" t="s">
        <v>261</v>
      </c>
      <c r="AG167" s="11" t="s">
        <v>261</v>
      </c>
    </row>
    <row r="168" spans="1:33" ht="30" hidden="1" x14ac:dyDescent="0.25">
      <c r="A168" s="11">
        <v>1</v>
      </c>
      <c r="B168" s="3" t="s">
        <v>261</v>
      </c>
      <c r="C168" s="11">
        <v>206683</v>
      </c>
      <c r="D168" s="11" t="s">
        <v>463</v>
      </c>
      <c r="E168" s="11" t="str">
        <f>MID(Table2[[#This Row],[تاريخ تاييد]],1,7)</f>
        <v>1403/10</v>
      </c>
      <c r="F168" s="11" t="str">
        <f>MID(Table2[[#This Row],[تاريخ تاييد]],6,2)</f>
        <v>10</v>
      </c>
      <c r="G168" s="11" t="str">
        <f>LEFT(Table2[[#This Row],[تاريخ تاييد]],4)</f>
        <v>1403</v>
      </c>
      <c r="H168" s="11" t="str">
        <f>VLOOKUP(Table2[[#This Row],[شماره فني]],Sheet7!A:C,3,0)</f>
        <v>NOD</v>
      </c>
      <c r="I168" s="11" t="str">
        <f>VLOOKUP(Table2[[#This Row],[شماره فني]],Sheet7!A:B,2,0)</f>
        <v>NBCM 207</v>
      </c>
      <c r="J168" s="11" t="s">
        <v>465</v>
      </c>
      <c r="K168" s="11" t="s">
        <v>725</v>
      </c>
      <c r="L168" s="11" t="s">
        <v>261</v>
      </c>
      <c r="M168" s="11" t="s">
        <v>261</v>
      </c>
      <c r="N168" s="11" t="s">
        <v>261</v>
      </c>
      <c r="O168" s="11" t="s">
        <v>261</v>
      </c>
      <c r="P168" s="11" t="s">
        <v>261</v>
      </c>
      <c r="Q168" s="11" t="s">
        <v>261</v>
      </c>
      <c r="R168" s="11" t="s">
        <v>261</v>
      </c>
      <c r="S168" s="11" t="s">
        <v>261</v>
      </c>
      <c r="T168" s="11" t="s">
        <v>985</v>
      </c>
      <c r="U168" s="11" t="s">
        <v>738</v>
      </c>
      <c r="V168" s="11" t="s">
        <v>737</v>
      </c>
      <c r="W168" s="11">
        <v>30</v>
      </c>
      <c r="X168" s="11" t="s">
        <v>19</v>
      </c>
      <c r="Y168" s="11" t="s">
        <v>261</v>
      </c>
      <c r="Z168" s="11" t="s">
        <v>261</v>
      </c>
      <c r="AA168" s="11" t="s">
        <v>261</v>
      </c>
      <c r="AB168" s="11" t="s">
        <v>27</v>
      </c>
      <c r="AC168" s="11" t="s">
        <v>988</v>
      </c>
      <c r="AD168" s="11" t="s">
        <v>261</v>
      </c>
      <c r="AE168" s="11" t="s">
        <v>551</v>
      </c>
      <c r="AF168" s="12" t="s">
        <v>261</v>
      </c>
      <c r="AG168" s="11" t="s">
        <v>261</v>
      </c>
    </row>
    <row r="169" spans="1:33" ht="45" hidden="1" x14ac:dyDescent="0.25">
      <c r="A169" s="11">
        <v>1</v>
      </c>
      <c r="B169" s="3" t="s">
        <v>261</v>
      </c>
      <c r="C169" s="11">
        <v>206703</v>
      </c>
      <c r="D169" s="11" t="s">
        <v>463</v>
      </c>
      <c r="E169" s="11" t="str">
        <f>MID(Table2[[#This Row],[تاريخ تاييد]],1,7)</f>
        <v>1403/10</v>
      </c>
      <c r="F169" s="11" t="str">
        <f>MID(Table2[[#This Row],[تاريخ تاييد]],6,2)</f>
        <v>10</v>
      </c>
      <c r="G169" s="11" t="str">
        <f>LEFT(Table2[[#This Row],[تاريخ تاييد]],4)</f>
        <v>1403</v>
      </c>
      <c r="H169" s="11" t="str">
        <f>VLOOKUP(Table2[[#This Row],[شماره فني]],Sheet7!A:C,3,0)</f>
        <v>MFD</v>
      </c>
      <c r="I169" s="11" t="str">
        <f>VLOOKUP(Table2[[#This Row],[شماره فني]],Sheet7!A:B,2,0)</f>
        <v>MFD RUNNA</v>
      </c>
      <c r="J169" s="11" t="s">
        <v>466</v>
      </c>
      <c r="K169" s="11" t="s">
        <v>231</v>
      </c>
      <c r="L169" s="11" t="s">
        <v>22</v>
      </c>
      <c r="M169" s="11" t="s">
        <v>491</v>
      </c>
      <c r="N169" s="11" t="s">
        <v>261</v>
      </c>
      <c r="O169" s="11" t="s">
        <v>261</v>
      </c>
      <c r="P169" s="11" t="s">
        <v>261</v>
      </c>
      <c r="Q169" s="11" t="s">
        <v>261</v>
      </c>
      <c r="R169" s="11" t="s">
        <v>261</v>
      </c>
      <c r="S169" s="11" t="s">
        <v>261</v>
      </c>
      <c r="T169" s="11" t="s">
        <v>231</v>
      </c>
      <c r="U169" s="11" t="s">
        <v>797</v>
      </c>
      <c r="V169" s="11" t="s">
        <v>561</v>
      </c>
      <c r="W169" s="11">
        <v>1</v>
      </c>
      <c r="X169" s="11" t="s">
        <v>121</v>
      </c>
      <c r="Y169" s="11" t="s">
        <v>261</v>
      </c>
      <c r="Z169" s="11" t="s">
        <v>491</v>
      </c>
      <c r="AA169" s="11" t="s">
        <v>66</v>
      </c>
      <c r="AB169" s="11" t="s">
        <v>28</v>
      </c>
      <c r="AC169" s="11" t="s">
        <v>261</v>
      </c>
      <c r="AD169" s="11" t="s">
        <v>261</v>
      </c>
      <c r="AE169" s="11" t="s">
        <v>551</v>
      </c>
      <c r="AF169" s="12" t="s">
        <v>261</v>
      </c>
      <c r="AG169" s="11" t="s">
        <v>261</v>
      </c>
    </row>
    <row r="170" spans="1:33" ht="30" hidden="1" x14ac:dyDescent="0.25">
      <c r="A170" s="11">
        <v>1</v>
      </c>
      <c r="B170" s="3" t="s">
        <v>261</v>
      </c>
      <c r="C170" s="11">
        <v>206768</v>
      </c>
      <c r="D170" s="11" t="s">
        <v>468</v>
      </c>
      <c r="E170" s="11" t="str">
        <f>MID(Table2[[#This Row],[تاريخ تاييد]],1,7)</f>
        <v>1403/10</v>
      </c>
      <c r="F170" s="11" t="str">
        <f>MID(Table2[[#This Row],[تاريخ تاييد]],6,2)</f>
        <v>10</v>
      </c>
      <c r="G170" s="11" t="str">
        <f>LEFT(Table2[[#This Row],[تاريخ تاييد]],4)</f>
        <v>1403</v>
      </c>
      <c r="H170" s="11" t="str">
        <f>VLOOKUP(Table2[[#This Row],[شماره فني]],Sheet7!A:C,3,0)</f>
        <v>NOD</v>
      </c>
      <c r="I170" s="11" t="str">
        <f>VLOOKUP(Table2[[#This Row],[شماره فني]],Sheet7!A:B,2,0)</f>
        <v>NBCM SOREN</v>
      </c>
      <c r="J170" s="11" t="s">
        <v>469</v>
      </c>
      <c r="K170" s="11" t="s">
        <v>725</v>
      </c>
      <c r="L170" s="11" t="s">
        <v>261</v>
      </c>
      <c r="M170" s="11" t="s">
        <v>261</v>
      </c>
      <c r="N170" s="11" t="s">
        <v>261</v>
      </c>
      <c r="O170" s="11" t="s">
        <v>261</v>
      </c>
      <c r="P170" s="11" t="s">
        <v>261</v>
      </c>
      <c r="Q170" s="11" t="s">
        <v>261</v>
      </c>
      <c r="R170" s="11" t="s">
        <v>261</v>
      </c>
      <c r="S170" s="11" t="s">
        <v>261</v>
      </c>
      <c r="T170" s="11" t="s">
        <v>985</v>
      </c>
      <c r="U170" s="11" t="s">
        <v>738</v>
      </c>
      <c r="V170" s="11" t="s">
        <v>737</v>
      </c>
      <c r="W170" s="11">
        <v>5</v>
      </c>
      <c r="X170" s="11" t="s">
        <v>208</v>
      </c>
      <c r="Y170" s="11" t="s">
        <v>261</v>
      </c>
      <c r="Z170" s="11" t="s">
        <v>261</v>
      </c>
      <c r="AA170" s="11" t="s">
        <v>261</v>
      </c>
      <c r="AB170" s="11" t="s">
        <v>27</v>
      </c>
      <c r="AC170" s="11" t="s">
        <v>988</v>
      </c>
      <c r="AD170" s="11" t="s">
        <v>261</v>
      </c>
      <c r="AE170" s="11" t="s">
        <v>551</v>
      </c>
      <c r="AF170" s="12" t="s">
        <v>261</v>
      </c>
      <c r="AG170" s="11" t="s">
        <v>261</v>
      </c>
    </row>
    <row r="171" spans="1:33" ht="45" hidden="1" x14ac:dyDescent="0.25">
      <c r="A171" s="11">
        <v>1</v>
      </c>
      <c r="B171" s="3" t="s">
        <v>261</v>
      </c>
      <c r="C171" s="11">
        <v>206854</v>
      </c>
      <c r="D171" s="11" t="s">
        <v>467</v>
      </c>
      <c r="E171" s="11" t="str">
        <f>MID(Table2[[#This Row],[تاريخ تاييد]],1,7)</f>
        <v>1403/10</v>
      </c>
      <c r="F171" s="11" t="str">
        <f>MID(Table2[[#This Row],[تاريخ تاييد]],6,2)</f>
        <v>10</v>
      </c>
      <c r="G171" s="11" t="str">
        <f>LEFT(Table2[[#This Row],[تاريخ تاييد]],4)</f>
        <v>1403</v>
      </c>
      <c r="H171" s="11" t="str">
        <f>VLOOKUP(Table2[[#This Row],[شماره فني]],Sheet7!A:C,3,0)</f>
        <v>کلید شیشه بالابر</v>
      </c>
      <c r="I171" s="11" t="str">
        <f>VLOOKUP(Table2[[#This Row],[شماره فني]],Sheet7!A:B,2,0)</f>
        <v>کلید شیشه بالابر عقب چپ سورن</v>
      </c>
      <c r="J171" s="11" t="s">
        <v>276</v>
      </c>
      <c r="K171" s="11" t="s">
        <v>723</v>
      </c>
      <c r="L171" s="11" t="s">
        <v>261</v>
      </c>
      <c r="M171" s="11" t="s">
        <v>261</v>
      </c>
      <c r="N171" s="11" t="s">
        <v>261</v>
      </c>
      <c r="O171" s="11" t="s">
        <v>261</v>
      </c>
      <c r="P171" s="11" t="s">
        <v>261</v>
      </c>
      <c r="Q171" s="11" t="s">
        <v>261</v>
      </c>
      <c r="R171" s="11" t="s">
        <v>961</v>
      </c>
      <c r="S171" s="11" t="s">
        <v>261</v>
      </c>
      <c r="T171" s="11" t="s">
        <v>261</v>
      </c>
      <c r="U171" s="11" t="s">
        <v>552</v>
      </c>
      <c r="V171" s="11" t="s">
        <v>784</v>
      </c>
      <c r="W171" s="11">
        <v>20</v>
      </c>
      <c r="X171" s="11" t="s">
        <v>287</v>
      </c>
      <c r="Y171" s="11" t="s">
        <v>261</v>
      </c>
      <c r="Z171" s="11" t="s">
        <v>261</v>
      </c>
      <c r="AA171" s="11" t="s">
        <v>261</v>
      </c>
      <c r="AB171" s="11" t="s">
        <v>583</v>
      </c>
      <c r="AC171" s="11" t="s">
        <v>261</v>
      </c>
      <c r="AD171" s="11" t="s">
        <v>261</v>
      </c>
      <c r="AE171" s="11" t="s">
        <v>551</v>
      </c>
      <c r="AF171" s="12" t="s">
        <v>261</v>
      </c>
      <c r="AG171" s="11" t="s">
        <v>261</v>
      </c>
    </row>
    <row r="172" spans="1:33" ht="45" hidden="1" x14ac:dyDescent="0.25">
      <c r="A172" s="11">
        <v>1</v>
      </c>
      <c r="B172" s="3" t="s">
        <v>261</v>
      </c>
      <c r="C172" s="11">
        <v>206854</v>
      </c>
      <c r="D172" s="11" t="s">
        <v>467</v>
      </c>
      <c r="E172" s="11" t="str">
        <f>MID(Table2[[#This Row],[تاريخ تاييد]],1,7)</f>
        <v>1403/10</v>
      </c>
      <c r="F172" s="11" t="str">
        <f>MID(Table2[[#This Row],[تاريخ تاييد]],6,2)</f>
        <v>10</v>
      </c>
      <c r="G172" s="11" t="str">
        <f>LEFT(Table2[[#This Row],[تاريخ تاييد]],4)</f>
        <v>1403</v>
      </c>
      <c r="H172" s="11" t="str">
        <f>VLOOKUP(Table2[[#This Row],[شماره فني]],Sheet7!A:C,3,0)</f>
        <v>کلید شیشه بالابر</v>
      </c>
      <c r="I172" s="11" t="str">
        <f>VLOOKUP(Table2[[#This Row],[شماره فني]],Sheet7!A:B,2,0)</f>
        <v>کلید شیشه بالابر عقب چپ سورن</v>
      </c>
      <c r="J172" s="11" t="s">
        <v>276</v>
      </c>
      <c r="K172" s="11" t="s">
        <v>723</v>
      </c>
      <c r="L172" s="11" t="s">
        <v>261</v>
      </c>
      <c r="M172" s="11" t="s">
        <v>261</v>
      </c>
      <c r="N172" s="11" t="s">
        <v>261</v>
      </c>
      <c r="O172" s="11" t="s">
        <v>261</v>
      </c>
      <c r="P172" s="11" t="s">
        <v>261</v>
      </c>
      <c r="Q172" s="11" t="s">
        <v>261</v>
      </c>
      <c r="R172" s="11" t="s">
        <v>961</v>
      </c>
      <c r="S172" s="11" t="s">
        <v>261</v>
      </c>
      <c r="T172" s="11" t="s">
        <v>261</v>
      </c>
      <c r="U172" s="11" t="s">
        <v>552</v>
      </c>
      <c r="V172" s="11" t="s">
        <v>784</v>
      </c>
      <c r="W172" s="11">
        <v>20</v>
      </c>
      <c r="X172" s="11" t="s">
        <v>287</v>
      </c>
      <c r="Y172" s="11" t="s">
        <v>261</v>
      </c>
      <c r="Z172" s="11" t="s">
        <v>261</v>
      </c>
      <c r="AA172" s="11" t="s">
        <v>261</v>
      </c>
      <c r="AB172" s="11" t="s">
        <v>583</v>
      </c>
      <c r="AC172" s="11" t="s">
        <v>261</v>
      </c>
      <c r="AD172" s="11" t="s">
        <v>261</v>
      </c>
      <c r="AE172" s="11" t="s">
        <v>551</v>
      </c>
      <c r="AF172" s="12" t="s">
        <v>261</v>
      </c>
      <c r="AG172" s="11" t="s">
        <v>261</v>
      </c>
    </row>
    <row r="173" spans="1:33" ht="75" hidden="1" x14ac:dyDescent="0.25">
      <c r="A173" s="11">
        <v>1</v>
      </c>
      <c r="B173" s="3" t="s">
        <v>261</v>
      </c>
      <c r="C173" s="11">
        <v>207049</v>
      </c>
      <c r="D173" s="11" t="s">
        <v>470</v>
      </c>
      <c r="E173" s="11" t="str">
        <f>MID(Table2[[#This Row],[تاريخ تاييد]],1,7)</f>
        <v>1403/10</v>
      </c>
      <c r="F173" s="11" t="str">
        <f>MID(Table2[[#This Row],[تاريخ تاييد]],6,2)</f>
        <v>10</v>
      </c>
      <c r="G173" s="11" t="str">
        <f>LEFT(Table2[[#This Row],[تاريخ تاييد]],4)</f>
        <v>1403</v>
      </c>
      <c r="H173" s="11" t="str">
        <f>VLOOKUP(Table2[[#This Row],[شماره فني]],Sheet7!A:C,3,0)</f>
        <v>جلو آمپر</v>
      </c>
      <c r="I173" s="11" t="str">
        <f>VLOOKUP(Table2[[#This Row],[شماره فني]],Sheet7!A:B,2,0)</f>
        <v>جلو آمپر207  معمولی85 گانه</v>
      </c>
      <c r="J173" s="11" t="s">
        <v>471</v>
      </c>
      <c r="K173" s="11" t="s">
        <v>724</v>
      </c>
      <c r="L173" s="11" t="s">
        <v>22</v>
      </c>
      <c r="M173" s="11" t="s">
        <v>491</v>
      </c>
      <c r="N173" s="11" t="s">
        <v>261</v>
      </c>
      <c r="O173" s="11" t="s">
        <v>261</v>
      </c>
      <c r="P173" s="11" t="s">
        <v>261</v>
      </c>
      <c r="Q173" s="11" t="s">
        <v>261</v>
      </c>
      <c r="R173" s="11" t="s">
        <v>494</v>
      </c>
      <c r="S173" s="11" t="s">
        <v>828</v>
      </c>
      <c r="T173" s="11" t="s">
        <v>978</v>
      </c>
      <c r="U173" s="11" t="s">
        <v>809</v>
      </c>
      <c r="V173" s="11" t="s">
        <v>580</v>
      </c>
      <c r="W173" s="11">
        <v>1</v>
      </c>
      <c r="X173" s="11" t="s">
        <v>30</v>
      </c>
      <c r="Y173" s="11" t="s">
        <v>261</v>
      </c>
      <c r="Z173" s="11" t="s">
        <v>491</v>
      </c>
      <c r="AA173" s="11" t="s">
        <v>66</v>
      </c>
      <c r="AB173" s="11" t="s">
        <v>27</v>
      </c>
      <c r="AC173" s="11" t="s">
        <v>990</v>
      </c>
      <c r="AD173" s="11" t="s">
        <v>261</v>
      </c>
      <c r="AE173" s="11" t="s">
        <v>551</v>
      </c>
      <c r="AF173" s="12" t="s">
        <v>261</v>
      </c>
      <c r="AG173" s="11" t="s">
        <v>348</v>
      </c>
    </row>
    <row r="174" spans="1:33" ht="45" hidden="1" x14ac:dyDescent="0.25">
      <c r="A174" s="11">
        <v>1</v>
      </c>
      <c r="B174" s="3" t="s">
        <v>261</v>
      </c>
      <c r="C174" s="11">
        <v>207369</v>
      </c>
      <c r="D174" s="11" t="s">
        <v>472</v>
      </c>
      <c r="E174" s="11" t="str">
        <f>MID(Table2[[#This Row],[تاريخ تاييد]],1,7)</f>
        <v>1403/10</v>
      </c>
      <c r="F174" s="11" t="str">
        <f>MID(Table2[[#This Row],[تاريخ تاييد]],6,2)</f>
        <v>10</v>
      </c>
      <c r="G174" s="11" t="str">
        <f>LEFT(Table2[[#This Row],[تاريخ تاييد]],4)</f>
        <v>1403</v>
      </c>
      <c r="H174" s="11" t="str">
        <f>VLOOKUP(Table2[[#This Row],[شماره فني]],Sheet7!A:C,3,0)</f>
        <v>MFD</v>
      </c>
      <c r="I174" s="11" t="str">
        <f>VLOOKUP(Table2[[#This Row],[شماره فني]],Sheet7!A:B,2,0)</f>
        <v>MFD RUNNA</v>
      </c>
      <c r="J174" s="11" t="s">
        <v>473</v>
      </c>
      <c r="K174" s="11" t="s">
        <v>231</v>
      </c>
      <c r="L174" s="11" t="s">
        <v>261</v>
      </c>
      <c r="M174" s="11" t="s">
        <v>261</v>
      </c>
      <c r="N174" s="11" t="s">
        <v>261</v>
      </c>
      <c r="O174" s="11" t="s">
        <v>261</v>
      </c>
      <c r="P174" s="11" t="s">
        <v>261</v>
      </c>
      <c r="Q174" s="11" t="s">
        <v>261</v>
      </c>
      <c r="R174" s="11" t="s">
        <v>261</v>
      </c>
      <c r="S174" s="11" t="s">
        <v>732</v>
      </c>
      <c r="T174" s="11" t="s">
        <v>817</v>
      </c>
      <c r="U174" s="11" t="s">
        <v>809</v>
      </c>
      <c r="V174" s="11" t="s">
        <v>734</v>
      </c>
      <c r="W174" s="11">
        <v>1</v>
      </c>
      <c r="X174" s="11" t="s">
        <v>121</v>
      </c>
      <c r="Y174" s="11" t="s">
        <v>261</v>
      </c>
      <c r="Z174" s="11" t="s">
        <v>529</v>
      </c>
      <c r="AA174" s="11" t="s">
        <v>66</v>
      </c>
      <c r="AB174" s="11" t="s">
        <v>28</v>
      </c>
      <c r="AC174" s="11" t="s">
        <v>261</v>
      </c>
      <c r="AD174" s="11" t="s">
        <v>261</v>
      </c>
      <c r="AE174" s="11" t="s">
        <v>551</v>
      </c>
      <c r="AF174" s="12" t="s">
        <v>733</v>
      </c>
      <c r="AG174" s="11" t="s">
        <v>261</v>
      </c>
    </row>
    <row r="175" spans="1:33" ht="30" hidden="1" x14ac:dyDescent="0.25">
      <c r="A175" s="11">
        <v>1</v>
      </c>
      <c r="B175" s="3" t="s">
        <v>261</v>
      </c>
      <c r="C175" s="11">
        <v>207404</v>
      </c>
      <c r="D175" s="11" t="s">
        <v>474</v>
      </c>
      <c r="E175" s="11" t="str">
        <f>MID(Table2[[#This Row],[تاريخ تاييد]],1,7)</f>
        <v>1403/10</v>
      </c>
      <c r="F175" s="11" t="str">
        <f>MID(Table2[[#This Row],[تاريخ تاييد]],6,2)</f>
        <v>10</v>
      </c>
      <c r="G175" s="11" t="str">
        <f>LEFT(Table2[[#This Row],[تاريخ تاييد]],4)</f>
        <v>1403</v>
      </c>
      <c r="H175" s="11" t="str">
        <f>VLOOKUP(Table2[[#This Row],[شماره فني]],Sheet7!A:C,3,0)</f>
        <v>جلو آمپر</v>
      </c>
      <c r="I175" s="11" t="str">
        <f>VLOOKUP(Table2[[#This Row],[شماره فني]],Sheet7!A:B,2,0)</f>
        <v>جلو آمپر207  معمولی85 گانه</v>
      </c>
      <c r="J175" s="11" t="s">
        <v>475</v>
      </c>
      <c r="K175" s="11" t="s">
        <v>233</v>
      </c>
      <c r="L175" s="11" t="s">
        <v>22</v>
      </c>
      <c r="M175" s="11" t="s">
        <v>515</v>
      </c>
      <c r="N175" s="11" t="s">
        <v>261</v>
      </c>
      <c r="O175" s="11" t="s">
        <v>261</v>
      </c>
      <c r="P175" s="11" t="s">
        <v>261</v>
      </c>
      <c r="Q175" s="11" t="s">
        <v>261</v>
      </c>
      <c r="R175" s="11" t="s">
        <v>516</v>
      </c>
      <c r="S175" s="11" t="s">
        <v>182</v>
      </c>
      <c r="T175" s="11" t="s">
        <v>803</v>
      </c>
      <c r="U175" s="11" t="s">
        <v>797</v>
      </c>
      <c r="V175" s="11" t="s">
        <v>561</v>
      </c>
      <c r="W175" s="11">
        <v>1</v>
      </c>
      <c r="X175" s="11" t="s">
        <v>30</v>
      </c>
      <c r="Y175" s="11" t="s">
        <v>261</v>
      </c>
      <c r="Z175" s="11" t="s">
        <v>515</v>
      </c>
      <c r="AA175" s="11" t="s">
        <v>66</v>
      </c>
      <c r="AB175" s="11" t="s">
        <v>28</v>
      </c>
      <c r="AC175" s="11" t="s">
        <v>261</v>
      </c>
      <c r="AD175" s="11" t="s">
        <v>261</v>
      </c>
      <c r="AE175" s="11" t="s">
        <v>551</v>
      </c>
      <c r="AF175" s="12" t="s">
        <v>261</v>
      </c>
      <c r="AG175" s="11" t="s">
        <v>261</v>
      </c>
    </row>
    <row r="176" spans="1:33" ht="45" hidden="1" x14ac:dyDescent="0.25">
      <c r="A176" s="11">
        <v>1</v>
      </c>
      <c r="B176" s="3" t="s">
        <v>261</v>
      </c>
      <c r="C176" s="11">
        <v>207407</v>
      </c>
      <c r="D176" s="11" t="s">
        <v>480</v>
      </c>
      <c r="E176" s="11" t="str">
        <f>MID(Table2[[#This Row],[تاريخ تاييد]],1,7)</f>
        <v>1403/10</v>
      </c>
      <c r="F176" s="11" t="str">
        <f>MID(Table2[[#This Row],[تاريخ تاييد]],6,2)</f>
        <v>10</v>
      </c>
      <c r="G176" s="11" t="str">
        <f>LEFT(Table2[[#This Row],[تاريخ تاييد]],4)</f>
        <v>1403</v>
      </c>
      <c r="H176" s="11" t="str">
        <f>VLOOKUP(Table2[[#This Row],[شماره فني]],Sheet7!A:C,3,0)</f>
        <v>NOD</v>
      </c>
      <c r="I176" s="11" t="str">
        <f>VLOOKUP(Table2[[#This Row],[شماره فني]],Sheet7!A:B,2,0)</f>
        <v>NBCM SOREN</v>
      </c>
      <c r="J176" s="11" t="s">
        <v>481</v>
      </c>
      <c r="K176" s="11" t="s">
        <v>485</v>
      </c>
      <c r="L176" s="11" t="s">
        <v>261</v>
      </c>
      <c r="M176" s="11" t="s">
        <v>261</v>
      </c>
      <c r="N176" s="11" t="s">
        <v>261</v>
      </c>
      <c r="O176" s="11" t="s">
        <v>261</v>
      </c>
      <c r="P176" s="11" t="s">
        <v>261</v>
      </c>
      <c r="Q176" s="11" t="s">
        <v>261</v>
      </c>
      <c r="R176" s="11" t="s">
        <v>961</v>
      </c>
      <c r="S176" s="11" t="s">
        <v>261</v>
      </c>
      <c r="T176" s="11" t="s">
        <v>261</v>
      </c>
      <c r="U176" s="11" t="s">
        <v>552</v>
      </c>
      <c r="V176" s="11" t="s">
        <v>784</v>
      </c>
      <c r="W176" s="11">
        <v>1</v>
      </c>
      <c r="X176" s="11" t="s">
        <v>208</v>
      </c>
      <c r="Y176" s="11" t="s">
        <v>261</v>
      </c>
      <c r="Z176" s="11" t="s">
        <v>261</v>
      </c>
      <c r="AA176" s="11" t="s">
        <v>261</v>
      </c>
      <c r="AB176" s="11" t="s">
        <v>583</v>
      </c>
      <c r="AC176" s="11" t="s">
        <v>261</v>
      </c>
      <c r="AD176" s="11" t="s">
        <v>261</v>
      </c>
      <c r="AE176" s="11" t="s">
        <v>551</v>
      </c>
      <c r="AF176" s="12" t="s">
        <v>261</v>
      </c>
      <c r="AG176" s="11" t="s">
        <v>261</v>
      </c>
    </row>
    <row r="177" spans="1:33" ht="30" hidden="1" x14ac:dyDescent="0.25">
      <c r="A177" s="11">
        <v>1</v>
      </c>
      <c r="B177" s="3" t="s">
        <v>261</v>
      </c>
      <c r="C177" s="11">
        <v>207663</v>
      </c>
      <c r="D177" s="11" t="s">
        <v>482</v>
      </c>
      <c r="E177" s="11" t="str">
        <f>MID(Table2[[#This Row],[تاريخ تاييد]],1,7)</f>
        <v>1403/10</v>
      </c>
      <c r="F177" s="11" t="str">
        <f>MID(Table2[[#This Row],[تاريخ تاييد]],6,2)</f>
        <v>10</v>
      </c>
      <c r="G177" s="11" t="str">
        <f>LEFT(Table2[[#This Row],[تاريخ تاييد]],4)</f>
        <v>1403</v>
      </c>
      <c r="H177" s="11" t="str">
        <f>VLOOKUP(Table2[[#This Row],[شماره فني]],Sheet7!A:C,3,0)</f>
        <v>جلو آمپر</v>
      </c>
      <c r="I177" s="11" t="str">
        <f>VLOOKUP(Table2[[#This Row],[شماره فني]],Sheet7!A:B,2,0)</f>
        <v>جلو آمپر تارا دستی</v>
      </c>
      <c r="J177" s="11" t="s">
        <v>483</v>
      </c>
      <c r="K177" s="11" t="s">
        <v>729</v>
      </c>
      <c r="L177" s="11" t="s">
        <v>22</v>
      </c>
      <c r="M177" s="11" t="s">
        <v>515</v>
      </c>
      <c r="N177" s="11" t="s">
        <v>261</v>
      </c>
      <c r="O177" s="11" t="s">
        <v>261</v>
      </c>
      <c r="P177" s="11" t="s">
        <v>261</v>
      </c>
      <c r="Q177" s="11" t="s">
        <v>261</v>
      </c>
      <c r="R177" s="11" t="s">
        <v>224</v>
      </c>
      <c r="S177" s="11" t="s">
        <v>517</v>
      </c>
      <c r="T177" s="11" t="s">
        <v>803</v>
      </c>
      <c r="U177" s="11" t="s">
        <v>797</v>
      </c>
      <c r="V177" s="11" t="s">
        <v>561</v>
      </c>
      <c r="W177" s="11">
        <v>1</v>
      </c>
      <c r="X177" s="11" t="s">
        <v>97</v>
      </c>
      <c r="Y177" s="11" t="s">
        <v>261</v>
      </c>
      <c r="Z177" s="11" t="s">
        <v>515</v>
      </c>
      <c r="AA177" s="11" t="s">
        <v>66</v>
      </c>
      <c r="AB177" s="11" t="s">
        <v>28</v>
      </c>
      <c r="AC177" s="11" t="s">
        <v>261</v>
      </c>
      <c r="AD177" s="11" t="s">
        <v>261</v>
      </c>
      <c r="AE177" s="11" t="s">
        <v>551</v>
      </c>
      <c r="AF177" s="12" t="s">
        <v>261</v>
      </c>
      <c r="AG177" s="11" t="s">
        <v>261</v>
      </c>
    </row>
    <row r="178" spans="1:33" ht="30" hidden="1" x14ac:dyDescent="0.25">
      <c r="A178" s="11">
        <v>1</v>
      </c>
      <c r="B178" s="3" t="s">
        <v>261</v>
      </c>
      <c r="C178" s="11">
        <v>207664</v>
      </c>
      <c r="D178" s="11" t="s">
        <v>482</v>
      </c>
      <c r="E178" s="11" t="str">
        <f>MID(Table2[[#This Row],[تاريخ تاييد]],1,7)</f>
        <v>1403/10</v>
      </c>
      <c r="F178" s="11" t="str">
        <f>MID(Table2[[#This Row],[تاريخ تاييد]],6,2)</f>
        <v>10</v>
      </c>
      <c r="G178" s="11" t="str">
        <f>LEFT(Table2[[#This Row],[تاريخ تاييد]],4)</f>
        <v>1403</v>
      </c>
      <c r="H178" s="11" t="str">
        <f>VLOOKUP(Table2[[#This Row],[شماره فني]],Sheet7!A:C,3,0)</f>
        <v>جلو آمپر</v>
      </c>
      <c r="I178" s="11" t="str">
        <f>VLOOKUP(Table2[[#This Row],[شماره فني]],Sheet7!A:B,2,0)</f>
        <v>جلو آمپر تارا اتوماتیک</v>
      </c>
      <c r="J178" s="11" t="s">
        <v>484</v>
      </c>
      <c r="K178" s="11" t="s">
        <v>233</v>
      </c>
      <c r="L178" s="11" t="s">
        <v>22</v>
      </c>
      <c r="M178" s="11" t="s">
        <v>532</v>
      </c>
      <c r="N178" s="11" t="s">
        <v>261</v>
      </c>
      <c r="O178" s="11" t="s">
        <v>261</v>
      </c>
      <c r="P178" s="11" t="s">
        <v>261</v>
      </c>
      <c r="Q178" s="11" t="s">
        <v>261</v>
      </c>
      <c r="R178" s="11" t="s">
        <v>224</v>
      </c>
      <c r="S178" s="11" t="s">
        <v>533</v>
      </c>
      <c r="T178" s="11" t="s">
        <v>803</v>
      </c>
      <c r="U178" s="11" t="s">
        <v>797</v>
      </c>
      <c r="V178" s="11" t="s">
        <v>561</v>
      </c>
      <c r="W178" s="11">
        <v>1</v>
      </c>
      <c r="X178" s="11" t="s">
        <v>20</v>
      </c>
      <c r="Y178" s="11" t="s">
        <v>261</v>
      </c>
      <c r="Z178" s="11" t="s">
        <v>532</v>
      </c>
      <c r="AA178" s="11" t="s">
        <v>66</v>
      </c>
      <c r="AB178" s="11" t="s">
        <v>28</v>
      </c>
      <c r="AC178" s="11" t="s">
        <v>261</v>
      </c>
      <c r="AD178" s="11" t="s">
        <v>261</v>
      </c>
      <c r="AE178" s="11" t="s">
        <v>551</v>
      </c>
      <c r="AF178" s="12" t="s">
        <v>261</v>
      </c>
      <c r="AG178" s="11" t="s">
        <v>261</v>
      </c>
    </row>
    <row r="179" spans="1:33" ht="30" hidden="1" x14ac:dyDescent="0.25">
      <c r="A179" s="11">
        <v>1</v>
      </c>
      <c r="B179" s="3" t="s">
        <v>261</v>
      </c>
      <c r="C179" s="11">
        <v>207945</v>
      </c>
      <c r="D179" s="11" t="s">
        <v>495</v>
      </c>
      <c r="E179" s="11" t="str">
        <f>MID(Table2[[#This Row],[تاريخ تاييد]],1,7)</f>
        <v>1403/10</v>
      </c>
      <c r="F179" s="11" t="str">
        <f>MID(Table2[[#This Row],[تاريخ تاييد]],6,2)</f>
        <v>10</v>
      </c>
      <c r="G179" s="11" t="str">
        <f>LEFT(Table2[[#This Row],[تاريخ تاييد]],4)</f>
        <v>1403</v>
      </c>
      <c r="H179" s="11" t="str">
        <f>VLOOKUP(Table2[[#This Row],[شماره فني]],Sheet7!A:C,3,0)</f>
        <v>جلو آمپر</v>
      </c>
      <c r="I179" s="11" t="str">
        <f>VLOOKUP(Table2[[#This Row],[شماره فني]],Sheet7!A:B,2,0)</f>
        <v>جلو آمپر207 اتوماتیک85 گانه</v>
      </c>
      <c r="J179" s="11" t="s">
        <v>496</v>
      </c>
      <c r="K179" s="11" t="s">
        <v>729</v>
      </c>
      <c r="L179" s="11" t="s">
        <v>23</v>
      </c>
      <c r="M179" s="11" t="s">
        <v>529</v>
      </c>
      <c r="N179" s="11" t="s">
        <v>261</v>
      </c>
      <c r="O179" s="11" t="s">
        <v>261</v>
      </c>
      <c r="P179" s="11" t="s">
        <v>261</v>
      </c>
      <c r="Q179" s="11" t="s">
        <v>261</v>
      </c>
      <c r="R179" s="11" t="s">
        <v>355</v>
      </c>
      <c r="S179" s="11" t="s">
        <v>261</v>
      </c>
      <c r="T179" s="11" t="s">
        <v>261</v>
      </c>
      <c r="U179" s="11" t="s">
        <v>583</v>
      </c>
      <c r="V179" s="11" t="s">
        <v>583</v>
      </c>
      <c r="W179" s="11">
        <v>1</v>
      </c>
      <c r="X179" s="11" t="s">
        <v>31</v>
      </c>
      <c r="Y179" s="11" t="s">
        <v>261</v>
      </c>
      <c r="Z179" s="11" t="s">
        <v>529</v>
      </c>
      <c r="AA179" s="11" t="s">
        <v>66</v>
      </c>
      <c r="AB179" s="11" t="s">
        <v>583</v>
      </c>
      <c r="AC179" s="11" t="s">
        <v>261</v>
      </c>
      <c r="AD179" s="11" t="s">
        <v>261</v>
      </c>
      <c r="AE179" s="11" t="s">
        <v>551</v>
      </c>
      <c r="AF179" s="12" t="s">
        <v>261</v>
      </c>
      <c r="AG179" s="11" t="s">
        <v>261</v>
      </c>
    </row>
    <row r="180" spans="1:33" ht="30" hidden="1" x14ac:dyDescent="0.25">
      <c r="A180" s="11">
        <v>1</v>
      </c>
      <c r="B180" s="3" t="s">
        <v>261</v>
      </c>
      <c r="C180" s="11">
        <v>207991</v>
      </c>
      <c r="D180" s="11" t="s">
        <v>495</v>
      </c>
      <c r="E180" s="11" t="str">
        <f>MID(Table2[[#This Row],[تاريخ تاييد]],1,7)</f>
        <v>1403/10</v>
      </c>
      <c r="F180" s="11" t="str">
        <f>MID(Table2[[#This Row],[تاريخ تاييد]],6,2)</f>
        <v>10</v>
      </c>
      <c r="G180" s="11" t="str">
        <f>LEFT(Table2[[#This Row],[تاريخ تاييد]],4)</f>
        <v>1403</v>
      </c>
      <c r="H180" s="11" t="str">
        <f>VLOOKUP(Table2[[#This Row],[شماره فني]],Sheet7!A:C,3,0)</f>
        <v>NOD</v>
      </c>
      <c r="I180" s="11" t="str">
        <f>VLOOKUP(Table2[[#This Row],[شماره فني]],Sheet7!A:B,2,0)</f>
        <v>SBM 207</v>
      </c>
      <c r="J180" s="11" t="s">
        <v>497</v>
      </c>
      <c r="K180" s="11" t="s">
        <v>725</v>
      </c>
      <c r="L180" s="11" t="s">
        <v>261</v>
      </c>
      <c r="M180" s="11" t="s">
        <v>261</v>
      </c>
      <c r="N180" s="11" t="s">
        <v>261</v>
      </c>
      <c r="O180" s="11" t="s">
        <v>261</v>
      </c>
      <c r="P180" s="11" t="s">
        <v>261</v>
      </c>
      <c r="Q180" s="11" t="s">
        <v>261</v>
      </c>
      <c r="R180" s="11" t="s">
        <v>261</v>
      </c>
      <c r="S180" s="11" t="s">
        <v>261</v>
      </c>
      <c r="T180" s="11" t="s">
        <v>985</v>
      </c>
      <c r="U180" s="11" t="s">
        <v>735</v>
      </c>
      <c r="V180" s="11" t="s">
        <v>736</v>
      </c>
      <c r="W180" s="11">
        <v>3</v>
      </c>
      <c r="X180" s="11" t="s">
        <v>514</v>
      </c>
      <c r="Y180" s="11" t="s">
        <v>261</v>
      </c>
      <c r="Z180" s="11" t="s">
        <v>261</v>
      </c>
      <c r="AA180" s="11" t="s">
        <v>261</v>
      </c>
      <c r="AB180" s="11" t="s">
        <v>29</v>
      </c>
      <c r="AC180" s="11" t="s">
        <v>261</v>
      </c>
      <c r="AD180" s="11" t="s">
        <v>261</v>
      </c>
      <c r="AE180" s="11" t="s">
        <v>551</v>
      </c>
      <c r="AF180" s="12" t="s">
        <v>261</v>
      </c>
      <c r="AG180" s="11" t="s">
        <v>261</v>
      </c>
    </row>
    <row r="181" spans="1:33" ht="45" hidden="1" x14ac:dyDescent="0.25">
      <c r="A181" s="11">
        <v>1</v>
      </c>
      <c r="B181" s="3" t="s">
        <v>261</v>
      </c>
      <c r="C181" s="11">
        <v>208016</v>
      </c>
      <c r="D181" s="11" t="s">
        <v>495</v>
      </c>
      <c r="E181" s="11" t="str">
        <f>MID(Table2[[#This Row],[تاريخ تاييد]],1,7)</f>
        <v>1403/10</v>
      </c>
      <c r="F181" s="11" t="str">
        <f>MID(Table2[[#This Row],[تاريخ تاييد]],6,2)</f>
        <v>10</v>
      </c>
      <c r="G181" s="11" t="str">
        <f>LEFT(Table2[[#This Row],[تاريخ تاييد]],4)</f>
        <v>1403</v>
      </c>
      <c r="H181" s="11" t="str">
        <f>VLOOKUP(Table2[[#This Row],[شماره فني]],Sheet7!A:C,3,0)</f>
        <v>جلو آمپر</v>
      </c>
      <c r="I181" s="11" t="str">
        <f>VLOOKUP(Table2[[#This Row],[شماره فني]],Sheet7!A:B,2,0)</f>
        <v>جلو آمپر دنا اتوماتیک</v>
      </c>
      <c r="J181" s="11" t="s">
        <v>498</v>
      </c>
      <c r="K181" s="11" t="s">
        <v>724</v>
      </c>
      <c r="L181" s="11" t="s">
        <v>261</v>
      </c>
      <c r="M181" s="11" t="s">
        <v>261</v>
      </c>
      <c r="N181" s="11" t="s">
        <v>261</v>
      </c>
      <c r="O181" s="11" t="s">
        <v>261</v>
      </c>
      <c r="P181" s="11" t="s">
        <v>261</v>
      </c>
      <c r="Q181" s="11" t="s">
        <v>261</v>
      </c>
      <c r="R181" s="11" t="s">
        <v>961</v>
      </c>
      <c r="S181" s="11" t="s">
        <v>261</v>
      </c>
      <c r="T181" s="11" t="s">
        <v>261</v>
      </c>
      <c r="U181" s="11" t="s">
        <v>552</v>
      </c>
      <c r="V181" s="11" t="s">
        <v>784</v>
      </c>
      <c r="W181" s="11">
        <v>1</v>
      </c>
      <c r="X181" s="11" t="s">
        <v>21</v>
      </c>
      <c r="Y181" s="11" t="s">
        <v>261</v>
      </c>
      <c r="Z181" s="11" t="s">
        <v>261</v>
      </c>
      <c r="AA181" s="11" t="s">
        <v>261</v>
      </c>
      <c r="AB181" s="11" t="s">
        <v>583</v>
      </c>
      <c r="AC181" s="11" t="s">
        <v>261</v>
      </c>
      <c r="AD181" s="11" t="s">
        <v>261</v>
      </c>
      <c r="AE181" s="11" t="s">
        <v>551</v>
      </c>
      <c r="AF181" s="12" t="s">
        <v>261</v>
      </c>
      <c r="AG181" s="11" t="s">
        <v>261</v>
      </c>
    </row>
    <row r="182" spans="1:33" ht="45" hidden="1" x14ac:dyDescent="0.25">
      <c r="A182" s="11">
        <v>1</v>
      </c>
      <c r="B182" s="3" t="s">
        <v>261</v>
      </c>
      <c r="C182" s="11">
        <v>208024</v>
      </c>
      <c r="D182" s="11" t="s">
        <v>495</v>
      </c>
      <c r="E182" s="11" t="str">
        <f>MID(Table2[[#This Row],[تاريخ تاييد]],1,7)</f>
        <v>1403/10</v>
      </c>
      <c r="F182" s="11" t="str">
        <f>MID(Table2[[#This Row],[تاريخ تاييد]],6,2)</f>
        <v>10</v>
      </c>
      <c r="G182" s="11" t="str">
        <f>LEFT(Table2[[#This Row],[تاريخ تاييد]],4)</f>
        <v>1403</v>
      </c>
      <c r="H182" s="11" t="str">
        <f>VLOOKUP(Table2[[#This Row],[شماره فني]],Sheet7!A:C,3,0)</f>
        <v>NOD</v>
      </c>
      <c r="I182" s="11" t="str">
        <f>VLOOKUP(Table2[[#This Row],[شماره فني]],Sheet7!A:B,2,0)</f>
        <v>NBCM DENA</v>
      </c>
      <c r="J182" s="11" t="s">
        <v>499</v>
      </c>
      <c r="K182" s="11" t="s">
        <v>334</v>
      </c>
      <c r="L182" s="11" t="s">
        <v>261</v>
      </c>
      <c r="M182" s="11" t="s">
        <v>261</v>
      </c>
      <c r="N182" s="11" t="s">
        <v>261</v>
      </c>
      <c r="O182" s="11" t="s">
        <v>261</v>
      </c>
      <c r="P182" s="11" t="s">
        <v>261</v>
      </c>
      <c r="Q182" s="11" t="s">
        <v>261</v>
      </c>
      <c r="R182" s="11" t="s">
        <v>961</v>
      </c>
      <c r="S182" s="11" t="s">
        <v>261</v>
      </c>
      <c r="T182" s="11" t="s">
        <v>261</v>
      </c>
      <c r="U182" s="11" t="s">
        <v>552</v>
      </c>
      <c r="V182" s="11" t="s">
        <v>784</v>
      </c>
      <c r="W182" s="11">
        <v>1</v>
      </c>
      <c r="X182" s="11" t="s">
        <v>16</v>
      </c>
      <c r="Y182" s="11" t="s">
        <v>261</v>
      </c>
      <c r="Z182" s="11" t="s">
        <v>261</v>
      </c>
      <c r="AA182" s="11" t="s">
        <v>261</v>
      </c>
      <c r="AB182" s="11" t="s">
        <v>583</v>
      </c>
      <c r="AC182" s="11" t="s">
        <v>261</v>
      </c>
      <c r="AD182" s="11" t="s">
        <v>261</v>
      </c>
      <c r="AE182" s="11" t="s">
        <v>551</v>
      </c>
      <c r="AF182" s="12" t="s">
        <v>261</v>
      </c>
      <c r="AG182" s="11" t="s">
        <v>261</v>
      </c>
    </row>
    <row r="183" spans="1:33" ht="45" hidden="1" x14ac:dyDescent="0.25">
      <c r="A183" s="11">
        <v>1</v>
      </c>
      <c r="B183" s="3" t="s">
        <v>261</v>
      </c>
      <c r="C183" s="11">
        <v>208095</v>
      </c>
      <c r="D183" s="11" t="s">
        <v>500</v>
      </c>
      <c r="E183" s="11" t="str">
        <f>MID(Table2[[#This Row],[تاريخ تاييد]],1,7)</f>
        <v>1403/10</v>
      </c>
      <c r="F183" s="11" t="str">
        <f>MID(Table2[[#This Row],[تاريخ تاييد]],6,2)</f>
        <v>10</v>
      </c>
      <c r="G183" s="11" t="str">
        <f>LEFT(Table2[[#This Row],[تاريخ تاييد]],4)</f>
        <v>1403</v>
      </c>
      <c r="H183" s="11" t="str">
        <f>VLOOKUP(Table2[[#This Row],[شماره فني]],Sheet7!A:C,3,0)</f>
        <v>جلو آمپر</v>
      </c>
      <c r="I183" s="11" t="str">
        <f>VLOOKUP(Table2[[#This Row],[شماره فني]],Sheet7!A:B,2,0)</f>
        <v>جلو آمپر تارا دستی</v>
      </c>
      <c r="J183" s="11" t="s">
        <v>501</v>
      </c>
      <c r="K183" s="11" t="s">
        <v>233</v>
      </c>
      <c r="L183" s="11" t="s">
        <v>261</v>
      </c>
      <c r="M183" s="11" t="s">
        <v>261</v>
      </c>
      <c r="N183" s="11" t="s">
        <v>261</v>
      </c>
      <c r="O183" s="11" t="s">
        <v>261</v>
      </c>
      <c r="P183" s="11" t="s">
        <v>261</v>
      </c>
      <c r="Q183" s="11" t="s">
        <v>261</v>
      </c>
      <c r="R183" s="11" t="s">
        <v>961</v>
      </c>
      <c r="S183" s="11" t="s">
        <v>261</v>
      </c>
      <c r="T183" s="11" t="s">
        <v>261</v>
      </c>
      <c r="U183" s="11" t="s">
        <v>552</v>
      </c>
      <c r="V183" s="11" t="s">
        <v>784</v>
      </c>
      <c r="W183" s="11">
        <v>1</v>
      </c>
      <c r="X183" s="11" t="s">
        <v>97</v>
      </c>
      <c r="Y183" s="11" t="s">
        <v>261</v>
      </c>
      <c r="Z183" s="11" t="s">
        <v>261</v>
      </c>
      <c r="AA183" s="11" t="s">
        <v>261</v>
      </c>
      <c r="AB183" s="11" t="s">
        <v>583</v>
      </c>
      <c r="AC183" s="11" t="s">
        <v>261</v>
      </c>
      <c r="AD183" s="11" t="s">
        <v>261</v>
      </c>
      <c r="AE183" s="11" t="s">
        <v>551</v>
      </c>
      <c r="AF183" s="12" t="s">
        <v>261</v>
      </c>
      <c r="AG183" s="11" t="s">
        <v>261</v>
      </c>
    </row>
    <row r="184" spans="1:33" ht="45" hidden="1" x14ac:dyDescent="0.25">
      <c r="A184" s="11">
        <v>1</v>
      </c>
      <c r="B184" s="3" t="s">
        <v>261</v>
      </c>
      <c r="C184" s="11">
        <v>208096</v>
      </c>
      <c r="D184" s="11" t="s">
        <v>500</v>
      </c>
      <c r="E184" s="11" t="str">
        <f>MID(Table2[[#This Row],[تاريخ تاييد]],1,7)</f>
        <v>1403/10</v>
      </c>
      <c r="F184" s="11" t="str">
        <f>MID(Table2[[#This Row],[تاريخ تاييد]],6,2)</f>
        <v>10</v>
      </c>
      <c r="G184" s="11" t="str">
        <f>LEFT(Table2[[#This Row],[تاريخ تاييد]],4)</f>
        <v>1403</v>
      </c>
      <c r="H184" s="11" t="str">
        <f>VLOOKUP(Table2[[#This Row],[شماره فني]],Sheet7!A:C,3,0)</f>
        <v>جلو آمپر</v>
      </c>
      <c r="I184" s="11" t="str">
        <f>VLOOKUP(Table2[[#This Row],[شماره فني]],Sheet7!A:B,2,0)</f>
        <v>جلو آمپرSOREN TC 85 گانه</v>
      </c>
      <c r="J184" s="11" t="s">
        <v>502</v>
      </c>
      <c r="K184" s="11" t="s">
        <v>231</v>
      </c>
      <c r="L184" s="11" t="s">
        <v>261</v>
      </c>
      <c r="M184" s="11" t="s">
        <v>261</v>
      </c>
      <c r="N184" s="11" t="s">
        <v>261</v>
      </c>
      <c r="O184" s="11" t="s">
        <v>261</v>
      </c>
      <c r="P184" s="11" t="s">
        <v>261</v>
      </c>
      <c r="Q184" s="11" t="s">
        <v>261</v>
      </c>
      <c r="R184" s="11" t="s">
        <v>961</v>
      </c>
      <c r="S184" s="11" t="s">
        <v>261</v>
      </c>
      <c r="T184" s="11" t="s">
        <v>261</v>
      </c>
      <c r="U184" s="11" t="s">
        <v>552</v>
      </c>
      <c r="V184" s="11" t="s">
        <v>784</v>
      </c>
      <c r="W184" s="11">
        <v>2</v>
      </c>
      <c r="X184" s="11" t="s">
        <v>32</v>
      </c>
      <c r="Y184" s="11" t="s">
        <v>261</v>
      </c>
      <c r="Z184" s="11" t="s">
        <v>261</v>
      </c>
      <c r="AA184" s="11" t="s">
        <v>261</v>
      </c>
      <c r="AB184" s="11" t="s">
        <v>583</v>
      </c>
      <c r="AC184" s="11" t="s">
        <v>261</v>
      </c>
      <c r="AD184" s="11" t="s">
        <v>261</v>
      </c>
      <c r="AE184" s="11" t="s">
        <v>551</v>
      </c>
      <c r="AF184" s="12" t="s">
        <v>261</v>
      </c>
      <c r="AG184" s="11" t="s">
        <v>261</v>
      </c>
    </row>
    <row r="185" spans="1:33" ht="30" hidden="1" x14ac:dyDescent="0.25">
      <c r="A185" s="11">
        <v>1</v>
      </c>
      <c r="B185" s="3" t="s">
        <v>261</v>
      </c>
      <c r="C185" s="11">
        <v>208289</v>
      </c>
      <c r="D185" s="11" t="s">
        <v>503</v>
      </c>
      <c r="E185" s="11" t="str">
        <f>MID(Table2[[#This Row],[تاريخ تاييد]],1,7)</f>
        <v>1403/11</v>
      </c>
      <c r="F185" s="11" t="str">
        <f>MID(Table2[[#This Row],[تاريخ تاييد]],6,2)</f>
        <v>11</v>
      </c>
      <c r="G185" s="11" t="str">
        <f>LEFT(Table2[[#This Row],[تاريخ تاييد]],4)</f>
        <v>1403</v>
      </c>
      <c r="H185" s="11" t="str">
        <f>VLOOKUP(Table2[[#This Row],[شماره فني]],Sheet7!A:C,3,0)</f>
        <v>جلو آمپر</v>
      </c>
      <c r="I185" s="11" t="str">
        <f>VLOOKUP(Table2[[#This Row],[شماره فني]],Sheet7!A:B,2,0)</f>
        <v>جلو آمپر تارا اتوماتیک</v>
      </c>
      <c r="J185" s="11" t="s">
        <v>504</v>
      </c>
      <c r="K185" s="11" t="s">
        <v>233</v>
      </c>
      <c r="L185" s="11" t="s">
        <v>22</v>
      </c>
      <c r="M185" s="11" t="s">
        <v>529</v>
      </c>
      <c r="N185" s="11" t="s">
        <v>261</v>
      </c>
      <c r="O185" s="11" t="s">
        <v>261</v>
      </c>
      <c r="P185" s="11" t="s">
        <v>261</v>
      </c>
      <c r="Q185" s="11" t="s">
        <v>261</v>
      </c>
      <c r="R185" s="11" t="s">
        <v>530</v>
      </c>
      <c r="S185" s="11" t="s">
        <v>531</v>
      </c>
      <c r="T185" s="11" t="s">
        <v>803</v>
      </c>
      <c r="U185" s="11" t="s">
        <v>797</v>
      </c>
      <c r="V185" s="11" t="s">
        <v>561</v>
      </c>
      <c r="W185" s="11">
        <v>1</v>
      </c>
      <c r="X185" s="11" t="s">
        <v>20</v>
      </c>
      <c r="Y185" s="11" t="s">
        <v>261</v>
      </c>
      <c r="Z185" s="11" t="s">
        <v>261</v>
      </c>
      <c r="AA185" s="11" t="s">
        <v>261</v>
      </c>
      <c r="AB185" s="11" t="s">
        <v>28</v>
      </c>
      <c r="AC185" s="11" t="s">
        <v>261</v>
      </c>
      <c r="AD185" s="11" t="s">
        <v>261</v>
      </c>
      <c r="AE185" s="11" t="s">
        <v>551</v>
      </c>
      <c r="AF185" s="12" t="s">
        <v>261</v>
      </c>
      <c r="AG185" s="11" t="s">
        <v>261</v>
      </c>
    </row>
    <row r="186" spans="1:33" ht="45" hidden="1" x14ac:dyDescent="0.25">
      <c r="A186" s="11">
        <v>1</v>
      </c>
      <c r="B186" s="3" t="s">
        <v>261</v>
      </c>
      <c r="C186" s="11">
        <v>208290</v>
      </c>
      <c r="D186" s="11" t="s">
        <v>503</v>
      </c>
      <c r="E186" s="11" t="str">
        <f>MID(Table2[[#This Row],[تاريخ تاييد]],1,7)</f>
        <v>1403/11</v>
      </c>
      <c r="F186" s="11" t="str">
        <f>MID(Table2[[#This Row],[تاريخ تاييد]],6,2)</f>
        <v>11</v>
      </c>
      <c r="G186" s="11" t="str">
        <f>LEFT(Table2[[#This Row],[تاريخ تاييد]],4)</f>
        <v>1403</v>
      </c>
      <c r="H186" s="11" t="str">
        <f>VLOOKUP(Table2[[#This Row],[شماره فني]],Sheet7!A:C,3,0)</f>
        <v>NOD</v>
      </c>
      <c r="I186" s="11" t="str">
        <f>VLOOKUP(Table2[[#This Row],[شماره فني]],Sheet7!A:B,2,0)</f>
        <v>SBM 207</v>
      </c>
      <c r="J186" s="11" t="s">
        <v>505</v>
      </c>
      <c r="K186" s="11" t="s">
        <v>334</v>
      </c>
      <c r="L186" s="11" t="s">
        <v>261</v>
      </c>
      <c r="M186" s="11" t="s">
        <v>261</v>
      </c>
      <c r="N186" s="11" t="s">
        <v>261</v>
      </c>
      <c r="O186" s="11" t="s">
        <v>261</v>
      </c>
      <c r="P186" s="11" t="s">
        <v>261</v>
      </c>
      <c r="Q186" s="11" t="s">
        <v>261</v>
      </c>
      <c r="R186" s="11" t="s">
        <v>961</v>
      </c>
      <c r="S186" s="11" t="s">
        <v>261</v>
      </c>
      <c r="T186" s="11" t="s">
        <v>261</v>
      </c>
      <c r="U186" s="11" t="s">
        <v>552</v>
      </c>
      <c r="V186" s="11" t="s">
        <v>784</v>
      </c>
      <c r="W186" s="11">
        <v>100</v>
      </c>
      <c r="X186" s="11" t="s">
        <v>514</v>
      </c>
      <c r="Y186" s="11" t="s">
        <v>261</v>
      </c>
      <c r="Z186" s="11" t="s">
        <v>261</v>
      </c>
      <c r="AA186" s="11" t="s">
        <v>261</v>
      </c>
      <c r="AB186" s="11" t="s">
        <v>583</v>
      </c>
      <c r="AC186" s="11" t="s">
        <v>261</v>
      </c>
      <c r="AD186" s="11" t="s">
        <v>261</v>
      </c>
      <c r="AE186" s="11" t="s">
        <v>551</v>
      </c>
      <c r="AF186" s="12" t="s">
        <v>261</v>
      </c>
      <c r="AG186" s="11" t="s">
        <v>261</v>
      </c>
    </row>
    <row r="187" spans="1:33" ht="30" hidden="1" x14ac:dyDescent="0.25">
      <c r="A187" s="11">
        <v>1</v>
      </c>
      <c r="B187" s="3" t="s">
        <v>261</v>
      </c>
      <c r="C187" s="11">
        <v>208338</v>
      </c>
      <c r="D187" s="11" t="s">
        <v>503</v>
      </c>
      <c r="E187" s="11" t="str">
        <f>MID(Table2[[#This Row],[تاريخ تاييد]],1,7)</f>
        <v>1403/11</v>
      </c>
      <c r="F187" s="11" t="str">
        <f>MID(Table2[[#This Row],[تاريخ تاييد]],6,2)</f>
        <v>11</v>
      </c>
      <c r="G187" s="11" t="str">
        <f>LEFT(Table2[[#This Row],[تاريخ تاييد]],4)</f>
        <v>1403</v>
      </c>
      <c r="H187" s="11" t="str">
        <f>VLOOKUP(Table2[[#This Row],[شماره فني]],Sheet7!A:C,3,0)</f>
        <v>جلو آمپر</v>
      </c>
      <c r="I187" s="11" t="str">
        <f>VLOOKUP(Table2[[#This Row],[شماره فني]],Sheet7!A:B,2,0)</f>
        <v>جلو آمپر تارا اتوماتیک</v>
      </c>
      <c r="J187" s="11" t="s">
        <v>506</v>
      </c>
      <c r="K187" s="11" t="s">
        <v>334</v>
      </c>
      <c r="L187" s="11" t="s">
        <v>22</v>
      </c>
      <c r="M187" s="11" t="s">
        <v>529</v>
      </c>
      <c r="N187" s="11" t="s">
        <v>261</v>
      </c>
      <c r="O187" s="11" t="s">
        <v>261</v>
      </c>
      <c r="P187" s="11" t="s">
        <v>261</v>
      </c>
      <c r="Q187" s="11" t="s">
        <v>261</v>
      </c>
      <c r="R187" s="11" t="s">
        <v>581</v>
      </c>
      <c r="S187" s="11" t="s">
        <v>261</v>
      </c>
      <c r="T187" s="11" t="s">
        <v>922</v>
      </c>
      <c r="U187" s="11" t="s">
        <v>582</v>
      </c>
      <c r="V187" s="11" t="s">
        <v>583</v>
      </c>
      <c r="W187" s="11">
        <v>1</v>
      </c>
      <c r="X187" s="11" t="s">
        <v>20</v>
      </c>
      <c r="Y187" s="11" t="s">
        <v>261</v>
      </c>
      <c r="Z187" s="11" t="s">
        <v>529</v>
      </c>
      <c r="AA187" s="11" t="s">
        <v>66</v>
      </c>
      <c r="AB187" s="11" t="s">
        <v>29</v>
      </c>
      <c r="AC187" s="11" t="s">
        <v>261</v>
      </c>
      <c r="AD187" s="11" t="s">
        <v>261</v>
      </c>
      <c r="AE187" s="11" t="s">
        <v>551</v>
      </c>
      <c r="AF187" s="12" t="s">
        <v>261</v>
      </c>
      <c r="AG187" s="11" t="s">
        <v>261</v>
      </c>
    </row>
    <row r="188" spans="1:33" ht="30" hidden="1" x14ac:dyDescent="0.25">
      <c r="A188" s="11">
        <v>1</v>
      </c>
      <c r="B188" s="3" t="s">
        <v>261</v>
      </c>
      <c r="C188" s="11">
        <v>208365</v>
      </c>
      <c r="D188" s="11" t="s">
        <v>503</v>
      </c>
      <c r="E188" s="11" t="str">
        <f>MID(Table2[[#This Row],[تاريخ تاييد]],1,7)</f>
        <v>1403/11</v>
      </c>
      <c r="F188" s="11" t="str">
        <f>MID(Table2[[#This Row],[تاريخ تاييد]],6,2)</f>
        <v>11</v>
      </c>
      <c r="G188" s="11" t="str">
        <f>LEFT(Table2[[#This Row],[تاريخ تاييد]],4)</f>
        <v>1403</v>
      </c>
      <c r="H188" s="11" t="str">
        <f>VLOOKUP(Table2[[#This Row],[شماره فني]],Sheet7!A:C,3,0)</f>
        <v>جلو آمپر</v>
      </c>
      <c r="I188" s="11" t="str">
        <f>VLOOKUP(Table2[[#This Row],[شماره فني]],Sheet7!A:B,2,0)</f>
        <v>جلو آمپر دنا ST</v>
      </c>
      <c r="J188" s="11" t="s">
        <v>507</v>
      </c>
      <c r="K188" s="11" t="s">
        <v>231</v>
      </c>
      <c r="L188" s="11" t="s">
        <v>23</v>
      </c>
      <c r="M188" s="11" t="s">
        <v>529</v>
      </c>
      <c r="N188" s="11" t="s">
        <v>261</v>
      </c>
      <c r="O188" s="11" t="s">
        <v>261</v>
      </c>
      <c r="P188" s="11" t="s">
        <v>261</v>
      </c>
      <c r="Q188" s="11" t="s">
        <v>261</v>
      </c>
      <c r="R188" s="11" t="s">
        <v>261</v>
      </c>
      <c r="S188" s="11" t="s">
        <v>261</v>
      </c>
      <c r="T188" s="11" t="s">
        <v>231</v>
      </c>
      <c r="U188" s="11" t="s">
        <v>797</v>
      </c>
      <c r="V188" s="11" t="s">
        <v>561</v>
      </c>
      <c r="W188" s="11">
        <v>1</v>
      </c>
      <c r="X188" s="11" t="s">
        <v>96</v>
      </c>
      <c r="Y188" s="11" t="s">
        <v>261</v>
      </c>
      <c r="Z188" s="11" t="s">
        <v>529</v>
      </c>
      <c r="AA188" s="11" t="s">
        <v>66</v>
      </c>
      <c r="AB188" s="11" t="s">
        <v>28</v>
      </c>
      <c r="AC188" s="11" t="s">
        <v>261</v>
      </c>
      <c r="AD188" s="11" t="s">
        <v>261</v>
      </c>
      <c r="AE188" s="11" t="s">
        <v>551</v>
      </c>
      <c r="AF188" s="12" t="s">
        <v>261</v>
      </c>
      <c r="AG188" s="11" t="s">
        <v>261</v>
      </c>
    </row>
    <row r="189" spans="1:33" ht="30" hidden="1" x14ac:dyDescent="0.25">
      <c r="A189" s="11">
        <v>1</v>
      </c>
      <c r="B189" s="3" t="s">
        <v>261</v>
      </c>
      <c r="C189" s="11">
        <v>208367</v>
      </c>
      <c r="D189" s="11" t="s">
        <v>503</v>
      </c>
      <c r="E189" s="11" t="str">
        <f>MID(Table2[[#This Row],[تاريخ تاييد]],1,7)</f>
        <v>1403/11</v>
      </c>
      <c r="F189" s="11" t="str">
        <f>MID(Table2[[#This Row],[تاريخ تاييد]],6,2)</f>
        <v>11</v>
      </c>
      <c r="G189" s="11" t="str">
        <f>LEFT(Table2[[#This Row],[تاريخ تاييد]],4)</f>
        <v>1403</v>
      </c>
      <c r="H189" s="11" t="str">
        <f>VLOOKUP(Table2[[#This Row],[شماره فني]],Sheet7!A:C,3,0)</f>
        <v>NOD</v>
      </c>
      <c r="I189" s="11" t="str">
        <f>VLOOKUP(Table2[[#This Row],[شماره فني]],Sheet7!A:B,2,0)</f>
        <v>NBCM DENA</v>
      </c>
      <c r="J189" s="11" t="s">
        <v>508</v>
      </c>
      <c r="K189" s="11" t="s">
        <v>232</v>
      </c>
      <c r="L189" s="11" t="s">
        <v>261</v>
      </c>
      <c r="M189" s="11" t="s">
        <v>261</v>
      </c>
      <c r="N189" s="11" t="s">
        <v>261</v>
      </c>
      <c r="O189" s="11" t="s">
        <v>261</v>
      </c>
      <c r="P189" s="11" t="s">
        <v>261</v>
      </c>
      <c r="Q189" s="11" t="s">
        <v>261</v>
      </c>
      <c r="R189" s="11" t="s">
        <v>794</v>
      </c>
      <c r="S189" s="11" t="s">
        <v>261</v>
      </c>
      <c r="T189" s="11" t="s">
        <v>261</v>
      </c>
      <c r="U189" s="11" t="s">
        <v>552</v>
      </c>
      <c r="V189" s="11" t="s">
        <v>786</v>
      </c>
      <c r="W189" s="11">
        <v>20</v>
      </c>
      <c r="X189" s="11" t="s">
        <v>16</v>
      </c>
      <c r="Y189" s="11" t="s">
        <v>261</v>
      </c>
      <c r="Z189" s="11" t="s">
        <v>529</v>
      </c>
      <c r="AA189" s="11" t="s">
        <v>66</v>
      </c>
      <c r="AB189" s="11" t="s">
        <v>583</v>
      </c>
      <c r="AC189" s="11" t="s">
        <v>261</v>
      </c>
      <c r="AD189" s="11" t="s">
        <v>261</v>
      </c>
      <c r="AE189" s="11" t="s">
        <v>551</v>
      </c>
      <c r="AF189" s="12" t="s">
        <v>261</v>
      </c>
      <c r="AG189" s="11" t="s">
        <v>261</v>
      </c>
    </row>
    <row r="190" spans="1:33" ht="60" hidden="1" x14ac:dyDescent="0.25">
      <c r="A190" s="11">
        <v>1</v>
      </c>
      <c r="B190" s="3" t="s">
        <v>261</v>
      </c>
      <c r="C190" s="11">
        <v>208368</v>
      </c>
      <c r="D190" s="11" t="s">
        <v>503</v>
      </c>
      <c r="E190" s="11" t="str">
        <f>MID(Table2[[#This Row],[تاريخ تاييد]],1,7)</f>
        <v>1403/11</v>
      </c>
      <c r="F190" s="11" t="str">
        <f>MID(Table2[[#This Row],[تاريخ تاييد]],6,2)</f>
        <v>11</v>
      </c>
      <c r="G190" s="11" t="str">
        <f>LEFT(Table2[[#This Row],[تاريخ تاييد]],4)</f>
        <v>1403</v>
      </c>
      <c r="H190" s="11" t="str">
        <f>VLOOKUP(Table2[[#This Row],[شماره فني]],Sheet7!A:C,3,0)</f>
        <v>MFD</v>
      </c>
      <c r="I190" s="11" t="str">
        <f>VLOOKUP(Table2[[#This Row],[شماره فني]],Sheet7!A:B,2,0)</f>
        <v>MFD RUNNA</v>
      </c>
      <c r="J190" s="11" t="s">
        <v>509</v>
      </c>
      <c r="K190" s="11" t="s">
        <v>588</v>
      </c>
      <c r="L190" s="11" t="s">
        <v>261</v>
      </c>
      <c r="M190" s="11" t="s">
        <v>261</v>
      </c>
      <c r="N190" s="11" t="s">
        <v>261</v>
      </c>
      <c r="O190" s="11" t="s">
        <v>261</v>
      </c>
      <c r="P190" s="11" t="s">
        <v>261</v>
      </c>
      <c r="Q190" s="11" t="s">
        <v>261</v>
      </c>
      <c r="R190" s="11" t="s">
        <v>261</v>
      </c>
      <c r="S190" s="11" t="s">
        <v>732</v>
      </c>
      <c r="T190" s="11" t="s">
        <v>817</v>
      </c>
      <c r="U190" s="11" t="s">
        <v>809</v>
      </c>
      <c r="V190" s="11" t="s">
        <v>589</v>
      </c>
      <c r="W190" s="11">
        <v>1</v>
      </c>
      <c r="X190" s="11" t="s">
        <v>121</v>
      </c>
      <c r="Y190" s="11" t="s">
        <v>261</v>
      </c>
      <c r="Z190" s="11" t="s">
        <v>261</v>
      </c>
      <c r="AA190" s="11" t="s">
        <v>261</v>
      </c>
      <c r="AB190" s="11" t="s">
        <v>29</v>
      </c>
      <c r="AC190" s="11" t="s">
        <v>261</v>
      </c>
      <c r="AD190" s="11" t="s">
        <v>261</v>
      </c>
      <c r="AE190" s="11" t="s">
        <v>551</v>
      </c>
      <c r="AF190" s="12" t="s">
        <v>261</v>
      </c>
      <c r="AG190" s="11" t="s">
        <v>261</v>
      </c>
    </row>
    <row r="191" spans="1:33" ht="45" hidden="1" x14ac:dyDescent="0.25">
      <c r="A191" s="11">
        <v>1</v>
      </c>
      <c r="B191" s="3" t="s">
        <v>261</v>
      </c>
      <c r="C191" s="11">
        <v>208576</v>
      </c>
      <c r="D191" s="11" t="s">
        <v>510</v>
      </c>
      <c r="E191" s="11" t="str">
        <f>MID(Table2[[#This Row],[تاريخ تاييد]],1,7)</f>
        <v>1403/11</v>
      </c>
      <c r="F191" s="11" t="str">
        <f>MID(Table2[[#This Row],[تاريخ تاييد]],6,2)</f>
        <v>11</v>
      </c>
      <c r="G191" s="11" t="str">
        <f>LEFT(Table2[[#This Row],[تاريخ تاييد]],4)</f>
        <v>1403</v>
      </c>
      <c r="H191" s="11" t="str">
        <f>VLOOKUP(Table2[[#This Row],[شماره فني]],Sheet7!A:C,3,0)</f>
        <v>NOD</v>
      </c>
      <c r="I191" s="11" t="str">
        <f>VLOOKUP(Table2[[#This Row],[شماره فني]],Sheet7!A:B,2,0)</f>
        <v>NBCM TARA SAL</v>
      </c>
      <c r="J191" s="11" t="s">
        <v>511</v>
      </c>
      <c r="K191" s="11" t="s">
        <v>334</v>
      </c>
      <c r="L191" s="11" t="s">
        <v>22</v>
      </c>
      <c r="M191" s="11" t="s">
        <v>523</v>
      </c>
      <c r="N191" s="11" t="s">
        <v>261</v>
      </c>
      <c r="O191" s="11" t="s">
        <v>261</v>
      </c>
      <c r="P191" s="11" t="s">
        <v>261</v>
      </c>
      <c r="Q191" s="11" t="s">
        <v>261</v>
      </c>
      <c r="R191" s="11" t="s">
        <v>524</v>
      </c>
      <c r="S191" s="11" t="s">
        <v>525</v>
      </c>
      <c r="T191" s="11" t="s">
        <v>527</v>
      </c>
      <c r="U191" s="11" t="s">
        <v>230</v>
      </c>
      <c r="V191" s="11" t="s">
        <v>561</v>
      </c>
      <c r="W191" s="11">
        <v>1</v>
      </c>
      <c r="X191" s="11" t="s">
        <v>95</v>
      </c>
      <c r="Y191" s="11" t="s">
        <v>526</v>
      </c>
      <c r="Z191" s="11" t="s">
        <v>523</v>
      </c>
      <c r="AA191" s="11" t="s">
        <v>66</v>
      </c>
      <c r="AB191" s="11" t="s">
        <v>28</v>
      </c>
      <c r="AC191" s="11" t="s">
        <v>261</v>
      </c>
      <c r="AD191" s="11" t="s">
        <v>261</v>
      </c>
      <c r="AE191" s="11" t="s">
        <v>551</v>
      </c>
      <c r="AF191" s="12" t="s">
        <v>261</v>
      </c>
      <c r="AG191" s="11" t="s">
        <v>261</v>
      </c>
    </row>
    <row r="192" spans="1:33" ht="45" hidden="1" x14ac:dyDescent="0.25">
      <c r="A192" s="11">
        <v>1</v>
      </c>
      <c r="B192" s="3" t="s">
        <v>261</v>
      </c>
      <c r="C192" s="11">
        <v>208768</v>
      </c>
      <c r="D192" s="11" t="s">
        <v>512</v>
      </c>
      <c r="E192" s="11" t="str">
        <f>MID(Table2[[#This Row],[تاريخ تاييد]],1,7)</f>
        <v>1403/11</v>
      </c>
      <c r="F192" s="11" t="str">
        <f>MID(Table2[[#This Row],[تاريخ تاييد]],6,2)</f>
        <v>11</v>
      </c>
      <c r="G192" s="11" t="str">
        <f>LEFT(Table2[[#This Row],[تاريخ تاييد]],4)</f>
        <v>1403</v>
      </c>
      <c r="H192" s="11" t="str">
        <f>VLOOKUP(Table2[[#This Row],[شماره فني]],Sheet7!A:C,3,0)</f>
        <v>جلو آمپر</v>
      </c>
      <c r="I192" s="11" t="str">
        <f>VLOOKUP(Table2[[#This Row],[شماره فني]],Sheet7!A:B,2,0)</f>
        <v>جلو آمپرSOREN TC 85 گانه</v>
      </c>
      <c r="J192" s="11" t="s">
        <v>513</v>
      </c>
      <c r="K192" s="11" t="s">
        <v>723</v>
      </c>
      <c r="L192" s="11" t="s">
        <v>261</v>
      </c>
      <c r="M192" s="11" t="s">
        <v>261</v>
      </c>
      <c r="N192" s="11" t="s">
        <v>261</v>
      </c>
      <c r="O192" s="11" t="s">
        <v>261</v>
      </c>
      <c r="P192" s="11" t="s">
        <v>261</v>
      </c>
      <c r="Q192" s="11" t="s">
        <v>261</v>
      </c>
      <c r="R192" s="11" t="s">
        <v>961</v>
      </c>
      <c r="S192" s="11" t="s">
        <v>261</v>
      </c>
      <c r="T192" s="11" t="s">
        <v>261</v>
      </c>
      <c r="U192" s="11" t="s">
        <v>552</v>
      </c>
      <c r="V192" s="11" t="s">
        <v>784</v>
      </c>
      <c r="W192" s="11">
        <v>10</v>
      </c>
      <c r="X192" s="11" t="s">
        <v>32</v>
      </c>
      <c r="Y192" s="11" t="s">
        <v>261</v>
      </c>
      <c r="Z192" s="11" t="s">
        <v>261</v>
      </c>
      <c r="AA192" s="11" t="s">
        <v>261</v>
      </c>
      <c r="AB192" s="11" t="s">
        <v>583</v>
      </c>
      <c r="AC192" s="11" t="s">
        <v>261</v>
      </c>
      <c r="AD192" s="11" t="s">
        <v>261</v>
      </c>
      <c r="AE192" s="11" t="s">
        <v>551</v>
      </c>
      <c r="AF192" s="12" t="s">
        <v>261</v>
      </c>
      <c r="AG192" s="11" t="s">
        <v>261</v>
      </c>
    </row>
    <row r="193" spans="1:33" ht="60" hidden="1" x14ac:dyDescent="0.25">
      <c r="A193" s="11">
        <v>1</v>
      </c>
      <c r="B193" s="3" t="s">
        <v>261</v>
      </c>
      <c r="C193" s="11">
        <v>209135</v>
      </c>
      <c r="D193" s="11" t="s">
        <v>518</v>
      </c>
      <c r="E193" s="11" t="str">
        <f>MID(Table2[[#This Row],[تاريخ تاييد]],1,7)</f>
        <v>1403/11</v>
      </c>
      <c r="F193" s="11" t="str">
        <f>MID(Table2[[#This Row],[تاريخ تاييد]],6,2)</f>
        <v>11</v>
      </c>
      <c r="G193" s="11" t="str">
        <f>LEFT(Table2[[#This Row],[تاريخ تاييد]],4)</f>
        <v>1403</v>
      </c>
      <c r="H193" s="11" t="str">
        <f>VLOOKUP(Table2[[#This Row],[شماره فني]],Sheet7!A:C,3,0)</f>
        <v>جلو آمپر</v>
      </c>
      <c r="I193" s="11" t="str">
        <f>VLOOKUP(Table2[[#This Row],[شماره فني]],Sheet7!A:B,2,0)</f>
        <v>جلو آمپر تارا اتوماتیک</v>
      </c>
      <c r="J193" s="11" t="s">
        <v>519</v>
      </c>
      <c r="K193" s="11" t="s">
        <v>729</v>
      </c>
      <c r="L193" s="11" t="s">
        <v>23</v>
      </c>
      <c r="M193" s="11" t="s">
        <v>543</v>
      </c>
      <c r="N193" s="11" t="s">
        <v>261</v>
      </c>
      <c r="O193" s="11" t="s">
        <v>261</v>
      </c>
      <c r="P193" s="11" t="s">
        <v>261</v>
      </c>
      <c r="Q193" s="11" t="s">
        <v>261</v>
      </c>
      <c r="R193" s="11" t="s">
        <v>795</v>
      </c>
      <c r="S193" s="11" t="s">
        <v>796</v>
      </c>
      <c r="T193" s="11" t="s">
        <v>803</v>
      </c>
      <c r="U193" s="11" t="s">
        <v>797</v>
      </c>
      <c r="V193" s="11" t="s">
        <v>561</v>
      </c>
      <c r="W193" s="11">
        <v>1</v>
      </c>
      <c r="X193" s="11" t="s">
        <v>20</v>
      </c>
      <c r="Y193" s="11" t="s">
        <v>261</v>
      </c>
      <c r="Z193" s="11" t="s">
        <v>543</v>
      </c>
      <c r="AA193" s="11" t="s">
        <v>66</v>
      </c>
      <c r="AB193" s="11" t="s">
        <v>28</v>
      </c>
      <c r="AC193" s="11" t="s">
        <v>261</v>
      </c>
      <c r="AD193" s="11" t="s">
        <v>261</v>
      </c>
      <c r="AE193" s="11" t="s">
        <v>551</v>
      </c>
      <c r="AF193" s="12" t="s">
        <v>261</v>
      </c>
      <c r="AG193" s="11" t="s">
        <v>261</v>
      </c>
    </row>
    <row r="194" spans="1:33" ht="45" hidden="1" x14ac:dyDescent="0.25">
      <c r="A194" s="11">
        <v>1</v>
      </c>
      <c r="B194" s="3" t="s">
        <v>261</v>
      </c>
      <c r="C194" s="11">
        <v>209201</v>
      </c>
      <c r="D194" s="11" t="s">
        <v>521</v>
      </c>
      <c r="E194" s="11" t="str">
        <f>MID(Table2[[#This Row],[تاريخ تاييد]],1,7)</f>
        <v>1403/11</v>
      </c>
      <c r="F194" s="11" t="str">
        <f>MID(Table2[[#This Row],[تاريخ تاييد]],6,2)</f>
        <v>11</v>
      </c>
      <c r="G194" s="11" t="str">
        <f>LEFT(Table2[[#This Row],[تاريخ تاييد]],4)</f>
        <v>1403</v>
      </c>
      <c r="H194" s="11" t="str">
        <f>VLOOKUP(Table2[[#This Row],[شماره فني]],Sheet7!A:C,3,0)</f>
        <v>NOD</v>
      </c>
      <c r="I194" s="11" t="str">
        <f>VLOOKUP(Table2[[#This Row],[شماره فني]],Sheet7!A:B,2,0)</f>
        <v>NBCM TARA SAL</v>
      </c>
      <c r="J194" s="11" t="s">
        <v>522</v>
      </c>
      <c r="K194" s="11" t="s">
        <v>726</v>
      </c>
      <c r="L194" s="11" t="s">
        <v>261</v>
      </c>
      <c r="M194" s="11" t="s">
        <v>261</v>
      </c>
      <c r="N194" s="11" t="s">
        <v>261</v>
      </c>
      <c r="O194" s="11" t="s">
        <v>261</v>
      </c>
      <c r="P194" s="11" t="s">
        <v>261</v>
      </c>
      <c r="Q194" s="11" t="s">
        <v>261</v>
      </c>
      <c r="R194" s="11" t="s">
        <v>961</v>
      </c>
      <c r="S194" s="11" t="s">
        <v>261</v>
      </c>
      <c r="T194" s="11" t="s">
        <v>261</v>
      </c>
      <c r="U194" s="11" t="s">
        <v>552</v>
      </c>
      <c r="V194" s="11" t="s">
        <v>784</v>
      </c>
      <c r="W194" s="11">
        <v>1</v>
      </c>
      <c r="X194" s="11" t="s">
        <v>95</v>
      </c>
      <c r="Y194" s="11" t="s">
        <v>261</v>
      </c>
      <c r="Z194" s="11" t="s">
        <v>261</v>
      </c>
      <c r="AA194" s="11" t="s">
        <v>261</v>
      </c>
      <c r="AB194" s="11" t="s">
        <v>583</v>
      </c>
      <c r="AC194" s="11" t="s">
        <v>261</v>
      </c>
      <c r="AD194" s="11" t="s">
        <v>261</v>
      </c>
      <c r="AE194" s="11" t="s">
        <v>551</v>
      </c>
      <c r="AF194" s="12" t="s">
        <v>261</v>
      </c>
      <c r="AG194" s="11" t="s">
        <v>261</v>
      </c>
    </row>
    <row r="195" spans="1:33" ht="30" hidden="1" x14ac:dyDescent="0.25">
      <c r="A195" s="11">
        <v>1</v>
      </c>
      <c r="B195" s="3" t="s">
        <v>261</v>
      </c>
      <c r="C195" s="11">
        <v>209500</v>
      </c>
      <c r="D195" s="11" t="s">
        <v>534</v>
      </c>
      <c r="E195" s="11" t="str">
        <f>MID(Table2[[#This Row],[تاريخ تاييد]],1,7)</f>
        <v>1403/11</v>
      </c>
      <c r="F195" s="11" t="str">
        <f>MID(Table2[[#This Row],[تاريخ تاييد]],6,2)</f>
        <v>11</v>
      </c>
      <c r="G195" s="11" t="str">
        <f>LEFT(Table2[[#This Row],[تاريخ تاييد]],4)</f>
        <v>1403</v>
      </c>
      <c r="H195" s="11" t="str">
        <f>VLOOKUP(Table2[[#This Row],[شماره فني]],Sheet7!A:C,3,0)</f>
        <v>جلو آمپر</v>
      </c>
      <c r="I195" s="11" t="str">
        <f>VLOOKUP(Table2[[#This Row],[شماره فني]],Sheet7!A:B,2,0)</f>
        <v>جلو آمپر207  معمولی85 گانه</v>
      </c>
      <c r="J195" s="11" t="s">
        <v>535</v>
      </c>
      <c r="K195" s="11" t="s">
        <v>729</v>
      </c>
      <c r="L195" s="11" t="s">
        <v>23</v>
      </c>
      <c r="M195" s="11" t="s">
        <v>543</v>
      </c>
      <c r="N195" s="11" t="s">
        <v>261</v>
      </c>
      <c r="O195" s="11" t="s">
        <v>261</v>
      </c>
      <c r="P195" s="11" t="s">
        <v>261</v>
      </c>
      <c r="Q195" s="11" t="s">
        <v>261</v>
      </c>
      <c r="R195" s="11" t="s">
        <v>261</v>
      </c>
      <c r="S195" s="11" t="s">
        <v>578</v>
      </c>
      <c r="T195" s="11" t="s">
        <v>801</v>
      </c>
      <c r="U195" s="11" t="s">
        <v>813</v>
      </c>
      <c r="V195" s="11" t="s">
        <v>563</v>
      </c>
      <c r="W195" s="11">
        <v>1</v>
      </c>
      <c r="X195" s="11" t="s">
        <v>30</v>
      </c>
      <c r="Y195" s="11" t="s">
        <v>478</v>
      </c>
      <c r="Z195" s="11" t="s">
        <v>449</v>
      </c>
      <c r="AA195" s="11" t="s">
        <v>66</v>
      </c>
      <c r="AB195" s="11" t="s">
        <v>27</v>
      </c>
      <c r="AC195" s="11" t="s">
        <v>987</v>
      </c>
      <c r="AD195" s="11" t="s">
        <v>261</v>
      </c>
      <c r="AE195" s="11" t="s">
        <v>551</v>
      </c>
      <c r="AF195" s="12" t="s">
        <v>261</v>
      </c>
      <c r="AG195" s="11" t="s">
        <v>261</v>
      </c>
    </row>
    <row r="196" spans="1:33" ht="45" hidden="1" x14ac:dyDescent="0.25">
      <c r="A196" s="11">
        <v>1</v>
      </c>
      <c r="B196" s="3" t="s">
        <v>261</v>
      </c>
      <c r="C196" s="11">
        <v>209603</v>
      </c>
      <c r="D196" s="11" t="s">
        <v>536</v>
      </c>
      <c r="E196" s="11" t="str">
        <f>MID(Table2[[#This Row],[تاريخ تاييد]],1,7)</f>
        <v>1403/11</v>
      </c>
      <c r="F196" s="11" t="str">
        <f>MID(Table2[[#This Row],[تاريخ تاييد]],6,2)</f>
        <v>11</v>
      </c>
      <c r="G196" s="11" t="str">
        <f>LEFT(Table2[[#This Row],[تاريخ تاييد]],4)</f>
        <v>1403</v>
      </c>
      <c r="H196" s="11" t="str">
        <f>VLOOKUP(Table2[[#This Row],[شماره فني]],Sheet7!A:C,3,0)</f>
        <v>جلو آمپر</v>
      </c>
      <c r="I196" s="11" t="str">
        <f>VLOOKUP(Table2[[#This Row],[شماره فني]],Sheet7!A:B,2,0)</f>
        <v>جلو آمپر دنا اتوماتیک</v>
      </c>
      <c r="J196" s="11" t="s">
        <v>537</v>
      </c>
      <c r="K196" s="11" t="s">
        <v>231</v>
      </c>
      <c r="L196" s="11" t="s">
        <v>261</v>
      </c>
      <c r="M196" s="11" t="s">
        <v>261</v>
      </c>
      <c r="N196" s="11" t="s">
        <v>261</v>
      </c>
      <c r="O196" s="11" t="s">
        <v>261</v>
      </c>
      <c r="P196" s="11" t="s">
        <v>261</v>
      </c>
      <c r="Q196" s="11" t="s">
        <v>261</v>
      </c>
      <c r="R196" s="11" t="s">
        <v>961</v>
      </c>
      <c r="S196" s="11" t="s">
        <v>261</v>
      </c>
      <c r="T196" s="11" t="s">
        <v>261</v>
      </c>
      <c r="U196" s="11" t="s">
        <v>552</v>
      </c>
      <c r="V196" s="11" t="s">
        <v>784</v>
      </c>
      <c r="W196" s="11">
        <v>1</v>
      </c>
      <c r="X196" s="11" t="s">
        <v>21</v>
      </c>
      <c r="Y196" s="11" t="s">
        <v>261</v>
      </c>
      <c r="Z196" s="11" t="s">
        <v>261</v>
      </c>
      <c r="AA196" s="11" t="s">
        <v>261</v>
      </c>
      <c r="AB196" s="11" t="s">
        <v>583</v>
      </c>
      <c r="AC196" s="11" t="s">
        <v>261</v>
      </c>
      <c r="AD196" s="11" t="s">
        <v>261</v>
      </c>
      <c r="AE196" s="11" t="s">
        <v>551</v>
      </c>
      <c r="AF196" s="12" t="s">
        <v>261</v>
      </c>
      <c r="AG196" s="11" t="s">
        <v>261</v>
      </c>
    </row>
    <row r="197" spans="1:33" ht="45" hidden="1" x14ac:dyDescent="0.25">
      <c r="A197" s="11">
        <v>1</v>
      </c>
      <c r="B197" s="3" t="s">
        <v>261</v>
      </c>
      <c r="C197" s="11">
        <v>209659</v>
      </c>
      <c r="D197" s="11" t="s">
        <v>536</v>
      </c>
      <c r="E197" s="11" t="str">
        <f>MID(Table2[[#This Row],[تاريخ تاييد]],1,7)</f>
        <v>1403/11</v>
      </c>
      <c r="F197" s="11" t="str">
        <f>MID(Table2[[#This Row],[تاريخ تاييد]],6,2)</f>
        <v>11</v>
      </c>
      <c r="G197" s="11" t="str">
        <f>LEFT(Table2[[#This Row],[تاريخ تاييد]],4)</f>
        <v>1403</v>
      </c>
      <c r="H197" s="11" t="str">
        <f>VLOOKUP(Table2[[#This Row],[شماره فني]],Sheet7!A:C,3,0)</f>
        <v>جلو آمپر</v>
      </c>
      <c r="I197" s="11" t="str">
        <f>VLOOKUP(Table2[[#This Row],[شماره فني]],Sheet7!A:B,2,0)</f>
        <v>جلو آمپر تارا اتوماتیک</v>
      </c>
      <c r="J197" s="11" t="s">
        <v>538</v>
      </c>
      <c r="K197" s="11" t="s">
        <v>729</v>
      </c>
      <c r="L197" s="11" t="s">
        <v>261</v>
      </c>
      <c r="M197" s="11" t="s">
        <v>261</v>
      </c>
      <c r="N197" s="11" t="s">
        <v>261</v>
      </c>
      <c r="O197" s="11" t="s">
        <v>261</v>
      </c>
      <c r="P197" s="11" t="s">
        <v>261</v>
      </c>
      <c r="Q197" s="11" t="s">
        <v>261</v>
      </c>
      <c r="R197" s="11" t="s">
        <v>961</v>
      </c>
      <c r="S197" s="11" t="s">
        <v>261</v>
      </c>
      <c r="T197" s="11" t="s">
        <v>261</v>
      </c>
      <c r="U197" s="11" t="s">
        <v>552</v>
      </c>
      <c r="V197" s="11" t="s">
        <v>784</v>
      </c>
      <c r="W197" s="11">
        <v>1</v>
      </c>
      <c r="X197" s="11" t="s">
        <v>20</v>
      </c>
      <c r="Y197" s="11" t="s">
        <v>261</v>
      </c>
      <c r="Z197" s="11" t="s">
        <v>261</v>
      </c>
      <c r="AA197" s="11" t="s">
        <v>261</v>
      </c>
      <c r="AB197" s="11" t="s">
        <v>583</v>
      </c>
      <c r="AC197" s="11" t="s">
        <v>261</v>
      </c>
      <c r="AD197" s="11" t="s">
        <v>261</v>
      </c>
      <c r="AE197" s="11" t="s">
        <v>551</v>
      </c>
      <c r="AF197" s="12" t="s">
        <v>261</v>
      </c>
      <c r="AG197" s="11" t="s">
        <v>261</v>
      </c>
    </row>
    <row r="198" spans="1:33" ht="45" hidden="1" x14ac:dyDescent="0.25">
      <c r="A198" s="11">
        <v>1</v>
      </c>
      <c r="B198" s="3" t="s">
        <v>261</v>
      </c>
      <c r="C198" s="11">
        <v>209660</v>
      </c>
      <c r="D198" s="11" t="s">
        <v>536</v>
      </c>
      <c r="E198" s="11" t="str">
        <f>MID(Table2[[#This Row],[تاريخ تاييد]],1,7)</f>
        <v>1403/11</v>
      </c>
      <c r="F198" s="11" t="str">
        <f>MID(Table2[[#This Row],[تاريخ تاييد]],6,2)</f>
        <v>11</v>
      </c>
      <c r="G198" s="11" t="str">
        <f>LEFT(Table2[[#This Row],[تاريخ تاييد]],4)</f>
        <v>1403</v>
      </c>
      <c r="H198" s="11" t="str">
        <f>VLOOKUP(Table2[[#This Row],[شماره فني]],Sheet7!A:C,3,0)</f>
        <v>جلو آمپر</v>
      </c>
      <c r="I198" s="11" t="str">
        <f>VLOOKUP(Table2[[#This Row],[شماره فني]],Sheet7!A:B,2,0)</f>
        <v>جلو آمپر تارا اتوماتیک</v>
      </c>
      <c r="J198" s="11" t="s">
        <v>539</v>
      </c>
      <c r="K198" s="11" t="s">
        <v>729</v>
      </c>
      <c r="L198" s="11" t="s">
        <v>261</v>
      </c>
      <c r="M198" s="11" t="s">
        <v>261</v>
      </c>
      <c r="N198" s="11" t="s">
        <v>261</v>
      </c>
      <c r="O198" s="11" t="s">
        <v>261</v>
      </c>
      <c r="P198" s="11" t="s">
        <v>261</v>
      </c>
      <c r="Q198" s="11" t="s">
        <v>261</v>
      </c>
      <c r="R198" s="11" t="s">
        <v>961</v>
      </c>
      <c r="S198" s="11" t="s">
        <v>261</v>
      </c>
      <c r="T198" s="11" t="s">
        <v>261</v>
      </c>
      <c r="U198" s="11" t="s">
        <v>552</v>
      </c>
      <c r="V198" s="11" t="s">
        <v>784</v>
      </c>
      <c r="W198" s="11">
        <v>1</v>
      </c>
      <c r="X198" s="11" t="s">
        <v>20</v>
      </c>
      <c r="Y198" s="11" t="s">
        <v>261</v>
      </c>
      <c r="Z198" s="11" t="s">
        <v>261</v>
      </c>
      <c r="AA198" s="11" t="s">
        <v>261</v>
      </c>
      <c r="AB198" s="11" t="s">
        <v>583</v>
      </c>
      <c r="AC198" s="11" t="s">
        <v>261</v>
      </c>
      <c r="AD198" s="11" t="s">
        <v>261</v>
      </c>
      <c r="AE198" s="11" t="s">
        <v>551</v>
      </c>
      <c r="AF198" s="12" t="s">
        <v>261</v>
      </c>
      <c r="AG198" s="11" t="s">
        <v>261</v>
      </c>
    </row>
    <row r="199" spans="1:33" ht="45" hidden="1" x14ac:dyDescent="0.25">
      <c r="A199" s="11">
        <v>1</v>
      </c>
      <c r="B199" s="3" t="s">
        <v>261</v>
      </c>
      <c r="C199" s="11">
        <v>209749</v>
      </c>
      <c r="D199" s="11" t="s">
        <v>536</v>
      </c>
      <c r="E199" s="11" t="str">
        <f>MID(Table2[[#This Row],[تاريخ تاييد]],1,7)</f>
        <v>1403/11</v>
      </c>
      <c r="F199" s="11" t="str">
        <f>MID(Table2[[#This Row],[تاريخ تاييد]],6,2)</f>
        <v>11</v>
      </c>
      <c r="G199" s="11" t="str">
        <f>LEFT(Table2[[#This Row],[تاريخ تاييد]],4)</f>
        <v>1403</v>
      </c>
      <c r="H199" s="11" t="str">
        <f>VLOOKUP(Table2[[#This Row],[شماره فني]],Sheet7!A:C,3,0)</f>
        <v>جلو آمپر</v>
      </c>
      <c r="I199" s="11" t="str">
        <f>VLOOKUP(Table2[[#This Row],[شماره فني]],Sheet7!A:B,2,0)</f>
        <v>جلو آمپر207  معمولی85 گانه</v>
      </c>
      <c r="J199" s="11" t="s">
        <v>540</v>
      </c>
      <c r="K199" s="11" t="s">
        <v>334</v>
      </c>
      <c r="L199" s="11" t="s">
        <v>261</v>
      </c>
      <c r="M199" s="11" t="s">
        <v>261</v>
      </c>
      <c r="N199" s="11" t="s">
        <v>261</v>
      </c>
      <c r="O199" s="11" t="s">
        <v>261</v>
      </c>
      <c r="P199" s="11" t="s">
        <v>261</v>
      </c>
      <c r="Q199" s="11" t="s">
        <v>261</v>
      </c>
      <c r="R199" s="11" t="s">
        <v>961</v>
      </c>
      <c r="S199" s="11" t="s">
        <v>261</v>
      </c>
      <c r="T199" s="11" t="s">
        <v>261</v>
      </c>
      <c r="U199" s="11" t="s">
        <v>552</v>
      </c>
      <c r="V199" s="11" t="s">
        <v>784</v>
      </c>
      <c r="W199" s="11">
        <v>1</v>
      </c>
      <c r="X199" s="11" t="s">
        <v>30</v>
      </c>
      <c r="Y199" s="11" t="s">
        <v>261</v>
      </c>
      <c r="Z199" s="11" t="s">
        <v>261</v>
      </c>
      <c r="AA199" s="11" t="s">
        <v>261</v>
      </c>
      <c r="AB199" s="11" t="s">
        <v>583</v>
      </c>
      <c r="AC199" s="11" t="s">
        <v>261</v>
      </c>
      <c r="AD199" s="11" t="s">
        <v>261</v>
      </c>
      <c r="AE199" s="11" t="s">
        <v>551</v>
      </c>
      <c r="AF199" s="12" t="s">
        <v>261</v>
      </c>
      <c r="AG199" s="11" t="s">
        <v>261</v>
      </c>
    </row>
    <row r="200" spans="1:33" ht="45" hidden="1" x14ac:dyDescent="0.25">
      <c r="A200" s="11">
        <v>1</v>
      </c>
      <c r="B200" s="3" t="s">
        <v>261</v>
      </c>
      <c r="C200" s="11">
        <v>209802</v>
      </c>
      <c r="D200" s="11" t="s">
        <v>541</v>
      </c>
      <c r="E200" s="11" t="str">
        <f>MID(Table2[[#This Row],[تاريخ تاييد]],1,7)</f>
        <v>1403/11</v>
      </c>
      <c r="F200" s="11" t="str">
        <f>MID(Table2[[#This Row],[تاريخ تاييد]],6,2)</f>
        <v>11</v>
      </c>
      <c r="G200" s="11" t="str">
        <f>LEFT(Table2[[#This Row],[تاريخ تاييد]],4)</f>
        <v>1403</v>
      </c>
      <c r="H200" s="11" t="str">
        <f>VLOOKUP(Table2[[#This Row],[شماره فني]],Sheet7!A:C,3,0)</f>
        <v>کلید شیشه بالابر</v>
      </c>
      <c r="I200" s="11" t="str">
        <f>VLOOKUP(Table2[[#This Row],[شماره فني]],Sheet7!A:B,2,0)</f>
        <v>کلید شیشه بالابر عقب چپ سورن</v>
      </c>
      <c r="J200" s="11" t="s">
        <v>542</v>
      </c>
      <c r="K200" s="11" t="s">
        <v>723</v>
      </c>
      <c r="L200" s="11" t="s">
        <v>261</v>
      </c>
      <c r="M200" s="11" t="s">
        <v>261</v>
      </c>
      <c r="N200" s="11" t="s">
        <v>261</v>
      </c>
      <c r="O200" s="11" t="s">
        <v>261</v>
      </c>
      <c r="P200" s="11" t="s">
        <v>261</v>
      </c>
      <c r="Q200" s="11" t="s">
        <v>261</v>
      </c>
      <c r="R200" s="11" t="s">
        <v>961</v>
      </c>
      <c r="S200" s="11" t="s">
        <v>261</v>
      </c>
      <c r="T200" s="11" t="s">
        <v>261</v>
      </c>
      <c r="U200" s="11" t="s">
        <v>552</v>
      </c>
      <c r="V200" s="11" t="s">
        <v>784</v>
      </c>
      <c r="W200" s="11">
        <v>3</v>
      </c>
      <c r="X200" s="11" t="s">
        <v>287</v>
      </c>
      <c r="Y200" s="11" t="s">
        <v>261</v>
      </c>
      <c r="Z200" s="11" t="s">
        <v>261</v>
      </c>
      <c r="AA200" s="11" t="s">
        <v>261</v>
      </c>
      <c r="AB200" s="11" t="s">
        <v>583</v>
      </c>
      <c r="AC200" s="11" t="s">
        <v>261</v>
      </c>
      <c r="AD200" s="11" t="s">
        <v>261</v>
      </c>
      <c r="AE200" s="11" t="s">
        <v>551</v>
      </c>
      <c r="AF200" s="12" t="s">
        <v>261</v>
      </c>
      <c r="AG200" s="11" t="s">
        <v>261</v>
      </c>
    </row>
    <row r="201" spans="1:33" ht="45" hidden="1" x14ac:dyDescent="0.25">
      <c r="A201" s="11">
        <v>1</v>
      </c>
      <c r="B201" s="3" t="s">
        <v>261</v>
      </c>
      <c r="C201" s="11">
        <v>209936</v>
      </c>
      <c r="D201" s="11" t="s">
        <v>544</v>
      </c>
      <c r="E201" s="11" t="str">
        <f>MID(Table2[[#This Row],[تاريخ تاييد]],1,7)</f>
        <v>1403/12</v>
      </c>
      <c r="F201" s="11" t="str">
        <f>MID(Table2[[#This Row],[تاريخ تاييد]],6,2)</f>
        <v>12</v>
      </c>
      <c r="G201" s="11" t="str">
        <f>LEFT(Table2[[#This Row],[تاريخ تاييد]],4)</f>
        <v>1403</v>
      </c>
      <c r="H201" s="11" t="str">
        <f>VLOOKUP(Table2[[#This Row],[شماره فني]],Sheet7!A:C,3,0)</f>
        <v>جلو آمپر</v>
      </c>
      <c r="I201" s="11" t="str">
        <f>VLOOKUP(Table2[[#This Row],[شماره فني]],Sheet7!A:B,2,0)</f>
        <v>جلو آمپرSOREN TC 85 گانه</v>
      </c>
      <c r="J201" s="11" t="s">
        <v>545</v>
      </c>
      <c r="K201" s="11" t="s">
        <v>231</v>
      </c>
      <c r="L201" s="11" t="s">
        <v>261</v>
      </c>
      <c r="M201" s="11" t="s">
        <v>261</v>
      </c>
      <c r="N201" s="11" t="s">
        <v>261</v>
      </c>
      <c r="O201" s="11" t="s">
        <v>261</v>
      </c>
      <c r="P201" s="11" t="s">
        <v>261</v>
      </c>
      <c r="Q201" s="11" t="s">
        <v>261</v>
      </c>
      <c r="R201" s="11" t="s">
        <v>961</v>
      </c>
      <c r="S201" s="11" t="s">
        <v>261</v>
      </c>
      <c r="T201" s="11" t="s">
        <v>261</v>
      </c>
      <c r="U201" s="11" t="s">
        <v>552</v>
      </c>
      <c r="V201" s="11" t="s">
        <v>784</v>
      </c>
      <c r="W201" s="11">
        <v>1</v>
      </c>
      <c r="X201" s="11" t="s">
        <v>32</v>
      </c>
      <c r="Y201" s="11" t="s">
        <v>261</v>
      </c>
      <c r="Z201" s="11" t="s">
        <v>261</v>
      </c>
      <c r="AA201" s="11" t="s">
        <v>261</v>
      </c>
      <c r="AB201" s="11" t="s">
        <v>583</v>
      </c>
      <c r="AC201" s="11" t="s">
        <v>261</v>
      </c>
      <c r="AD201" s="11" t="s">
        <v>261</v>
      </c>
      <c r="AE201" s="11" t="s">
        <v>551</v>
      </c>
      <c r="AF201" s="12" t="s">
        <v>261</v>
      </c>
      <c r="AG201" s="11" t="s">
        <v>261</v>
      </c>
    </row>
    <row r="202" spans="1:33" ht="45" hidden="1" x14ac:dyDescent="0.25">
      <c r="A202" s="11">
        <v>1</v>
      </c>
      <c r="B202" s="3" t="s">
        <v>261</v>
      </c>
      <c r="C202" s="11">
        <v>209988</v>
      </c>
      <c r="D202" s="11" t="s">
        <v>546</v>
      </c>
      <c r="E202" s="11" t="str">
        <f>MID(Table2[[#This Row],[تاريخ تاييد]],1,7)</f>
        <v>1403/12</v>
      </c>
      <c r="F202" s="11" t="str">
        <f>MID(Table2[[#This Row],[تاريخ تاييد]],6,2)</f>
        <v>12</v>
      </c>
      <c r="G202" s="11" t="str">
        <f>LEFT(Table2[[#This Row],[تاريخ تاييد]],4)</f>
        <v>1403</v>
      </c>
      <c r="H202" s="11" t="str">
        <f>VLOOKUP(Table2[[#This Row],[شماره فني]],Sheet7!A:C,3,0)</f>
        <v>جلو آمپر</v>
      </c>
      <c r="I202" s="11" t="str">
        <f>VLOOKUP(Table2[[#This Row],[شماره فني]],Sheet7!A:B,2,0)</f>
        <v>جلو آمپر207 اتوماتیک85 گانه</v>
      </c>
      <c r="J202" s="11" t="s">
        <v>547</v>
      </c>
      <c r="K202" s="11" t="s">
        <v>723</v>
      </c>
      <c r="L202" s="11" t="s">
        <v>261</v>
      </c>
      <c r="M202" s="11" t="s">
        <v>261</v>
      </c>
      <c r="N202" s="11" t="s">
        <v>261</v>
      </c>
      <c r="O202" s="11" t="s">
        <v>261</v>
      </c>
      <c r="P202" s="11" t="s">
        <v>261</v>
      </c>
      <c r="Q202" s="11" t="s">
        <v>261</v>
      </c>
      <c r="R202" s="11" t="s">
        <v>961</v>
      </c>
      <c r="S202" s="11" t="s">
        <v>261</v>
      </c>
      <c r="T202" s="11" t="s">
        <v>261</v>
      </c>
      <c r="U202" s="11" t="s">
        <v>552</v>
      </c>
      <c r="V202" s="11" t="s">
        <v>784</v>
      </c>
      <c r="W202" s="11">
        <v>1</v>
      </c>
      <c r="X202" s="11" t="s">
        <v>31</v>
      </c>
      <c r="Y202" s="11" t="s">
        <v>261</v>
      </c>
      <c r="Z202" s="11" t="s">
        <v>261</v>
      </c>
      <c r="AA202" s="11" t="s">
        <v>261</v>
      </c>
      <c r="AB202" s="11" t="s">
        <v>583</v>
      </c>
      <c r="AC202" s="11" t="s">
        <v>261</v>
      </c>
      <c r="AD202" s="11" t="s">
        <v>261</v>
      </c>
      <c r="AE202" s="11" t="s">
        <v>551</v>
      </c>
      <c r="AF202" s="12" t="s">
        <v>261</v>
      </c>
      <c r="AG202" s="11" t="s">
        <v>261</v>
      </c>
    </row>
    <row r="203" spans="1:33" ht="45" hidden="1" x14ac:dyDescent="0.25">
      <c r="A203" s="11">
        <v>1</v>
      </c>
      <c r="B203" s="3" t="s">
        <v>261</v>
      </c>
      <c r="C203" s="11">
        <v>210103</v>
      </c>
      <c r="D203" s="11" t="s">
        <v>590</v>
      </c>
      <c r="E203" s="11" t="str">
        <f>MID(Table2[[#This Row],[تاريخ تاييد]],1,7)</f>
        <v>1403/12</v>
      </c>
      <c r="F203" s="11" t="str">
        <f>MID(Table2[[#This Row],[تاريخ تاييد]],6,2)</f>
        <v>12</v>
      </c>
      <c r="G203" s="11" t="str">
        <f>LEFT(Table2[[#This Row],[تاريخ تاييد]],4)</f>
        <v>1403</v>
      </c>
      <c r="H203" s="11" t="str">
        <f>VLOOKUP(Table2[[#This Row],[شماره فني]],Sheet7!A:C,3,0)</f>
        <v>کلید شیشه بالابر</v>
      </c>
      <c r="I203" s="11" t="str">
        <f>VLOOKUP(Table2[[#This Row],[شماره فني]],Sheet7!A:B,2,0)</f>
        <v>کلید شیشه بالابر جلو چپ سورن</v>
      </c>
      <c r="J203" s="11" t="s">
        <v>591</v>
      </c>
      <c r="K203" s="11" t="s">
        <v>334</v>
      </c>
      <c r="L203" s="11" t="s">
        <v>261</v>
      </c>
      <c r="M203" s="11" t="s">
        <v>261</v>
      </c>
      <c r="N203" s="11" t="s">
        <v>261</v>
      </c>
      <c r="O203" s="11" t="s">
        <v>261</v>
      </c>
      <c r="P203" s="11" t="s">
        <v>261</v>
      </c>
      <c r="Q203" s="11" t="s">
        <v>261</v>
      </c>
      <c r="R203" s="11" t="s">
        <v>961</v>
      </c>
      <c r="S203" s="11" t="s">
        <v>261</v>
      </c>
      <c r="T203" s="11" t="s">
        <v>261</v>
      </c>
      <c r="U203" s="11" t="s">
        <v>552</v>
      </c>
      <c r="V203" s="11" t="s">
        <v>784</v>
      </c>
      <c r="W203" s="11">
        <v>1</v>
      </c>
      <c r="X203" s="11" t="s">
        <v>306</v>
      </c>
      <c r="Y203" s="11" t="s">
        <v>261</v>
      </c>
      <c r="Z203" s="11" t="s">
        <v>261</v>
      </c>
      <c r="AA203" s="11" t="s">
        <v>261</v>
      </c>
      <c r="AB203" s="11" t="s">
        <v>583</v>
      </c>
      <c r="AC203" s="11" t="s">
        <v>261</v>
      </c>
      <c r="AD203" s="11" t="s">
        <v>261</v>
      </c>
      <c r="AE203" s="11" t="s">
        <v>551</v>
      </c>
      <c r="AF203" s="12" t="s">
        <v>261</v>
      </c>
      <c r="AG203" s="11" t="s">
        <v>261</v>
      </c>
    </row>
    <row r="204" spans="1:33" ht="45" hidden="1" x14ac:dyDescent="0.25">
      <c r="A204" s="11">
        <v>1</v>
      </c>
      <c r="B204" s="3" t="s">
        <v>261</v>
      </c>
      <c r="C204" s="11">
        <v>210276</v>
      </c>
      <c r="D204" s="11" t="s">
        <v>592</v>
      </c>
      <c r="E204" s="11" t="str">
        <f>MID(Table2[[#This Row],[تاريخ تاييد]],1,7)</f>
        <v>1403/12</v>
      </c>
      <c r="F204" s="11" t="str">
        <f>MID(Table2[[#This Row],[تاريخ تاييد]],6,2)</f>
        <v>12</v>
      </c>
      <c r="G204" s="11" t="str">
        <f>LEFT(Table2[[#This Row],[تاريخ تاييد]],4)</f>
        <v>1403</v>
      </c>
      <c r="H204" s="11" t="str">
        <f>VLOOKUP(Table2[[#This Row],[شماره فني]],Sheet7!A:C,3,0)</f>
        <v>جلو آمپر</v>
      </c>
      <c r="I204" s="11" t="str">
        <f>VLOOKUP(Table2[[#This Row],[شماره فني]],Sheet7!A:B,2,0)</f>
        <v>جلو آمپر تارا دستی</v>
      </c>
      <c r="J204" s="11" t="s">
        <v>593</v>
      </c>
      <c r="K204" s="11" t="s">
        <v>724</v>
      </c>
      <c r="L204" s="11" t="s">
        <v>261</v>
      </c>
      <c r="M204" s="11" t="s">
        <v>261</v>
      </c>
      <c r="N204" s="11" t="s">
        <v>261</v>
      </c>
      <c r="O204" s="11" t="s">
        <v>261</v>
      </c>
      <c r="P204" s="11" t="s">
        <v>261</v>
      </c>
      <c r="Q204" s="11" t="s">
        <v>261</v>
      </c>
      <c r="R204" s="11" t="s">
        <v>961</v>
      </c>
      <c r="S204" s="11" t="s">
        <v>261</v>
      </c>
      <c r="T204" s="11" t="s">
        <v>261</v>
      </c>
      <c r="U204" s="11" t="s">
        <v>552</v>
      </c>
      <c r="V204" s="11" t="s">
        <v>784</v>
      </c>
      <c r="W204" s="11">
        <v>1</v>
      </c>
      <c r="X204" s="11" t="s">
        <v>97</v>
      </c>
      <c r="Y204" s="11" t="s">
        <v>261</v>
      </c>
      <c r="Z204" s="11" t="s">
        <v>261</v>
      </c>
      <c r="AA204" s="11" t="s">
        <v>261</v>
      </c>
      <c r="AB204" s="11" t="s">
        <v>583</v>
      </c>
      <c r="AC204" s="11" t="s">
        <v>261</v>
      </c>
      <c r="AD204" s="11" t="s">
        <v>261</v>
      </c>
      <c r="AE204" s="11" t="s">
        <v>551</v>
      </c>
      <c r="AF204" s="12" t="s">
        <v>261</v>
      </c>
      <c r="AG204" s="11" t="s">
        <v>261</v>
      </c>
    </row>
    <row r="205" spans="1:33" ht="75" hidden="1" x14ac:dyDescent="0.25">
      <c r="A205" s="11">
        <v>1</v>
      </c>
      <c r="B205" s="3" t="s">
        <v>261</v>
      </c>
      <c r="C205" s="11">
        <v>210392</v>
      </c>
      <c r="D205" s="11" t="s">
        <v>594</v>
      </c>
      <c r="E205" s="11" t="str">
        <f>MID(Table2[[#This Row],[تاريخ تاييد]],1,7)</f>
        <v>1403/12</v>
      </c>
      <c r="F205" s="11" t="str">
        <f>MID(Table2[[#This Row],[تاريخ تاييد]],6,2)</f>
        <v>12</v>
      </c>
      <c r="G205" s="11" t="str">
        <f>LEFT(Table2[[#This Row],[تاريخ تاييد]],4)</f>
        <v>1403</v>
      </c>
      <c r="H205" s="11" t="str">
        <f>VLOOKUP(Table2[[#This Row],[شماره فني]],Sheet7!A:C,3,0)</f>
        <v>NOD</v>
      </c>
      <c r="I205" s="11" t="str">
        <f>VLOOKUP(Table2[[#This Row],[شماره فني]],Sheet7!A:B,2,0)</f>
        <v>NBCM TARA SAL</v>
      </c>
      <c r="J205" s="11" t="s">
        <v>595</v>
      </c>
      <c r="K205" s="11" t="s">
        <v>730</v>
      </c>
      <c r="L205" s="11" t="s">
        <v>23</v>
      </c>
      <c r="M205" s="11" t="s">
        <v>762</v>
      </c>
      <c r="N205" s="11" t="s">
        <v>261</v>
      </c>
      <c r="O205" s="11" t="s">
        <v>261</v>
      </c>
      <c r="P205" s="11" t="s">
        <v>261</v>
      </c>
      <c r="Q205" s="11" t="s">
        <v>261</v>
      </c>
      <c r="R205" s="11" t="s">
        <v>835</v>
      </c>
      <c r="S205" s="11" t="s">
        <v>837</v>
      </c>
      <c r="T205" s="11" t="s">
        <v>985</v>
      </c>
      <c r="U205" s="11" t="s">
        <v>836</v>
      </c>
      <c r="V205" s="11" t="s">
        <v>836</v>
      </c>
      <c r="W205" s="11">
        <v>1</v>
      </c>
      <c r="X205" s="11" t="s">
        <v>95</v>
      </c>
      <c r="Y205" s="11" t="s">
        <v>261</v>
      </c>
      <c r="Z205" s="11" t="s">
        <v>762</v>
      </c>
      <c r="AA205" s="11" t="s">
        <v>66</v>
      </c>
      <c r="AB205" s="11" t="s">
        <v>29</v>
      </c>
      <c r="AC205" s="11" t="s">
        <v>261</v>
      </c>
      <c r="AD205" s="11" t="s">
        <v>261</v>
      </c>
      <c r="AE205" s="11" t="s">
        <v>551</v>
      </c>
      <c r="AF205" s="12" t="s">
        <v>261</v>
      </c>
      <c r="AG205" s="11" t="s">
        <v>261</v>
      </c>
    </row>
    <row r="206" spans="1:33" ht="30" hidden="1" x14ac:dyDescent="0.25">
      <c r="A206" s="11">
        <v>1</v>
      </c>
      <c r="B206" s="3" t="s">
        <v>261</v>
      </c>
      <c r="C206" s="11">
        <v>210416</v>
      </c>
      <c r="D206" s="11" t="s">
        <v>594</v>
      </c>
      <c r="E206" s="11" t="str">
        <f>MID(Table2[[#This Row],[تاريخ تاييد]],1,7)</f>
        <v>1403/12</v>
      </c>
      <c r="F206" s="11" t="str">
        <f>MID(Table2[[#This Row],[تاريخ تاييد]],6,2)</f>
        <v>12</v>
      </c>
      <c r="G206" s="11" t="str">
        <f>LEFT(Table2[[#This Row],[تاريخ تاييد]],4)</f>
        <v>1403</v>
      </c>
      <c r="H206" s="11" t="str">
        <f>VLOOKUP(Table2[[#This Row],[شماره فني]],Sheet7!A:C,3,0)</f>
        <v>جلو آمپر</v>
      </c>
      <c r="I206" s="11" t="str">
        <f>VLOOKUP(Table2[[#This Row],[شماره فني]],Sheet7!A:B,2,0)</f>
        <v>جلو آمپر207  معمولی85 گانه</v>
      </c>
      <c r="J206" s="11" t="s">
        <v>596</v>
      </c>
      <c r="K206" s="11" t="s">
        <v>233</v>
      </c>
      <c r="L206" s="11" t="s">
        <v>22</v>
      </c>
      <c r="M206" s="11" t="s">
        <v>762</v>
      </c>
      <c r="N206" s="11" t="s">
        <v>261</v>
      </c>
      <c r="O206" s="11" t="s">
        <v>261</v>
      </c>
      <c r="P206" s="11" t="s">
        <v>261</v>
      </c>
      <c r="Q206" s="11" t="s">
        <v>261</v>
      </c>
      <c r="R206" s="11" t="s">
        <v>765</v>
      </c>
      <c r="S206" s="11" t="s">
        <v>261</v>
      </c>
      <c r="T206" s="11" t="s">
        <v>985</v>
      </c>
      <c r="U206" s="11" t="s">
        <v>1092</v>
      </c>
      <c r="V206" s="11" t="s">
        <v>1093</v>
      </c>
      <c r="W206" s="11">
        <v>1</v>
      </c>
      <c r="X206" s="11" t="s">
        <v>30</v>
      </c>
      <c r="Y206" s="11" t="s">
        <v>261</v>
      </c>
      <c r="Z206" s="11" t="s">
        <v>762</v>
      </c>
      <c r="AA206" s="11" t="s">
        <v>66</v>
      </c>
      <c r="AB206" s="11" t="s">
        <v>583</v>
      </c>
      <c r="AC206" s="11" t="s">
        <v>261</v>
      </c>
      <c r="AD206" s="11" t="s">
        <v>1094</v>
      </c>
      <c r="AE206" s="11" t="s">
        <v>551</v>
      </c>
      <c r="AF206" s="12" t="s">
        <v>261</v>
      </c>
      <c r="AG206" s="11" t="s">
        <v>261</v>
      </c>
    </row>
    <row r="207" spans="1:33" ht="45" hidden="1" x14ac:dyDescent="0.25">
      <c r="A207" s="11">
        <v>1</v>
      </c>
      <c r="B207" s="3" t="s">
        <v>261</v>
      </c>
      <c r="C207" s="11">
        <v>210564</v>
      </c>
      <c r="D207" s="11" t="s">
        <v>597</v>
      </c>
      <c r="E207" s="11" t="str">
        <f>MID(Table2[[#This Row],[تاريخ تاييد]],1,7)</f>
        <v>1403/12</v>
      </c>
      <c r="F207" s="11" t="str">
        <f>MID(Table2[[#This Row],[تاريخ تاييد]],6,2)</f>
        <v>12</v>
      </c>
      <c r="G207" s="11" t="str">
        <f>LEFT(Table2[[#This Row],[تاريخ تاييد]],4)</f>
        <v>1403</v>
      </c>
      <c r="H207" s="11" t="str">
        <f>VLOOKUP(Table2[[#This Row],[شماره فني]],Sheet7!A:C,3,0)</f>
        <v>جلو آمپر</v>
      </c>
      <c r="I207" s="11" t="str">
        <f>VLOOKUP(Table2[[#This Row],[شماره فني]],Sheet7!A:B,2,0)</f>
        <v>جلو آمپر207 اتوماتیک85 گانه</v>
      </c>
      <c r="J207" s="11" t="s">
        <v>598</v>
      </c>
      <c r="K207" s="11" t="s">
        <v>724</v>
      </c>
      <c r="L207" s="11" t="s">
        <v>261</v>
      </c>
      <c r="M207" s="11" t="s">
        <v>261</v>
      </c>
      <c r="N207" s="11" t="s">
        <v>261</v>
      </c>
      <c r="O207" s="11" t="s">
        <v>261</v>
      </c>
      <c r="P207" s="11" t="s">
        <v>261</v>
      </c>
      <c r="Q207" s="11" t="s">
        <v>261</v>
      </c>
      <c r="R207" s="11" t="s">
        <v>961</v>
      </c>
      <c r="S207" s="11" t="s">
        <v>261</v>
      </c>
      <c r="T207" s="11" t="s">
        <v>261</v>
      </c>
      <c r="U207" s="11" t="s">
        <v>552</v>
      </c>
      <c r="V207" s="11" t="s">
        <v>784</v>
      </c>
      <c r="W207" s="11">
        <v>1</v>
      </c>
      <c r="X207" s="11" t="s">
        <v>31</v>
      </c>
      <c r="Y207" s="11" t="s">
        <v>261</v>
      </c>
      <c r="Z207" s="11" t="s">
        <v>261</v>
      </c>
      <c r="AA207" s="11" t="s">
        <v>261</v>
      </c>
      <c r="AB207" s="11" t="s">
        <v>583</v>
      </c>
      <c r="AC207" s="11" t="s">
        <v>261</v>
      </c>
      <c r="AD207" s="11" t="s">
        <v>261</v>
      </c>
      <c r="AE207" s="11" t="s">
        <v>551</v>
      </c>
      <c r="AF207" s="12" t="s">
        <v>261</v>
      </c>
      <c r="AG207" s="11" t="s">
        <v>261</v>
      </c>
    </row>
    <row r="208" spans="1:33" ht="30" hidden="1" x14ac:dyDescent="0.25">
      <c r="A208" s="11">
        <v>1</v>
      </c>
      <c r="B208" s="3" t="s">
        <v>261</v>
      </c>
      <c r="C208" s="11">
        <v>210635</v>
      </c>
      <c r="D208" s="11" t="s">
        <v>599</v>
      </c>
      <c r="E208" s="11" t="str">
        <f>MID(Table2[[#This Row],[تاريخ تاييد]],1,7)</f>
        <v>1403/12</v>
      </c>
      <c r="F208" s="11" t="str">
        <f>MID(Table2[[#This Row],[تاريخ تاييد]],6,2)</f>
        <v>12</v>
      </c>
      <c r="G208" s="11" t="str">
        <f>LEFT(Table2[[#This Row],[تاريخ تاييد]],4)</f>
        <v>1403</v>
      </c>
      <c r="H208" s="11" t="str">
        <f>VLOOKUP(Table2[[#This Row],[شماره فني]],Sheet7!A:C,3,0)</f>
        <v>NOD</v>
      </c>
      <c r="I208" s="11" t="str">
        <f>VLOOKUP(Table2[[#This Row],[شماره فني]],Sheet7!A:B,2,0)</f>
        <v>NBCM 207</v>
      </c>
      <c r="J208" s="11" t="s">
        <v>600</v>
      </c>
      <c r="K208" s="11" t="s">
        <v>1081</v>
      </c>
      <c r="L208" s="11" t="s">
        <v>22</v>
      </c>
      <c r="M208" s="11" t="s">
        <v>762</v>
      </c>
      <c r="N208" s="11" t="s">
        <v>261</v>
      </c>
      <c r="O208" s="11" t="s">
        <v>261</v>
      </c>
      <c r="P208" s="11" t="s">
        <v>261</v>
      </c>
      <c r="Q208" s="11" t="s">
        <v>261</v>
      </c>
      <c r="R208" s="11" t="s">
        <v>607</v>
      </c>
      <c r="S208" s="11" t="s">
        <v>984</v>
      </c>
      <c r="T208" s="12" t="s">
        <v>818</v>
      </c>
      <c r="U208" s="11" t="s">
        <v>824</v>
      </c>
      <c r="V208" s="11" t="s">
        <v>766</v>
      </c>
      <c r="W208" s="11">
        <v>1</v>
      </c>
      <c r="X208" s="11" t="s">
        <v>19</v>
      </c>
      <c r="Y208" s="11" t="s">
        <v>261</v>
      </c>
      <c r="Z208" s="11" t="s">
        <v>261</v>
      </c>
      <c r="AA208" s="11" t="s">
        <v>261</v>
      </c>
      <c r="AB208" s="11" t="s">
        <v>27</v>
      </c>
      <c r="AC208" s="11" t="s">
        <v>986</v>
      </c>
      <c r="AD208" s="11" t="s">
        <v>261</v>
      </c>
      <c r="AE208" s="11" t="s">
        <v>551</v>
      </c>
      <c r="AF208" s="12" t="s">
        <v>261</v>
      </c>
      <c r="AG208" s="11" t="s">
        <v>261</v>
      </c>
    </row>
    <row r="209" spans="1:33" ht="30" hidden="1" x14ac:dyDescent="0.25">
      <c r="A209" s="11">
        <v>1</v>
      </c>
      <c r="B209" s="3" t="s">
        <v>261</v>
      </c>
      <c r="C209" s="11">
        <v>210637</v>
      </c>
      <c r="D209" s="11" t="s">
        <v>601</v>
      </c>
      <c r="E209" s="11" t="str">
        <f>MID(Table2[[#This Row],[تاريخ تاييد]],1,7)</f>
        <v>1403/12</v>
      </c>
      <c r="F209" s="11" t="str">
        <f>MID(Table2[[#This Row],[تاريخ تاييد]],6,2)</f>
        <v>12</v>
      </c>
      <c r="G209" s="11" t="str">
        <f>LEFT(Table2[[#This Row],[تاريخ تاييد]],4)</f>
        <v>1403</v>
      </c>
      <c r="H209" s="11" t="str">
        <f>VLOOKUP(Table2[[#This Row],[شماره فني]],Sheet7!A:C,3,0)</f>
        <v>NOD</v>
      </c>
      <c r="I209" s="11" t="str">
        <f>VLOOKUP(Table2[[#This Row],[شماره فني]],Sheet7!A:B,2,0)</f>
        <v>NBCM 207</v>
      </c>
      <c r="J209" s="11" t="s">
        <v>602</v>
      </c>
      <c r="K209" s="11" t="s">
        <v>730</v>
      </c>
      <c r="L209" s="11" t="s">
        <v>22</v>
      </c>
      <c r="M209" s="11" t="s">
        <v>762</v>
      </c>
      <c r="N209" s="11" t="s">
        <v>261</v>
      </c>
      <c r="O209" s="11" t="s">
        <v>261</v>
      </c>
      <c r="P209" s="11" t="s">
        <v>261</v>
      </c>
      <c r="Q209" s="11" t="s">
        <v>261</v>
      </c>
      <c r="R209" s="11" t="s">
        <v>606</v>
      </c>
      <c r="S209" s="11" t="s">
        <v>261</v>
      </c>
      <c r="T209" s="11" t="s">
        <v>799</v>
      </c>
      <c r="U209" s="11" t="s">
        <v>821</v>
      </c>
      <c r="V209" s="11" t="s">
        <v>616</v>
      </c>
      <c r="W209" s="11">
        <v>1</v>
      </c>
      <c r="X209" s="11" t="s">
        <v>19</v>
      </c>
      <c r="Y209" s="11" t="s">
        <v>261</v>
      </c>
      <c r="Z209" s="11" t="s">
        <v>762</v>
      </c>
      <c r="AA209" s="11" t="s">
        <v>66</v>
      </c>
      <c r="AB209" s="11" t="s">
        <v>29</v>
      </c>
      <c r="AC209" s="11" t="s">
        <v>261</v>
      </c>
      <c r="AD209" s="11" t="s">
        <v>261</v>
      </c>
      <c r="AE209" s="11" t="s">
        <v>551</v>
      </c>
      <c r="AF209" s="12" t="s">
        <v>261</v>
      </c>
      <c r="AG209" s="11" t="s">
        <v>261</v>
      </c>
    </row>
    <row r="210" spans="1:33" ht="30" hidden="1" x14ac:dyDescent="0.25">
      <c r="A210" s="11">
        <v>1</v>
      </c>
      <c r="B210" s="3" t="s">
        <v>261</v>
      </c>
      <c r="C210" s="11">
        <v>210677</v>
      </c>
      <c r="D210" s="11" t="s">
        <v>601</v>
      </c>
      <c r="E210" s="11" t="str">
        <f>MID(Table2[[#This Row],[تاريخ تاييد]],1,7)</f>
        <v>1403/12</v>
      </c>
      <c r="F210" s="11" t="str">
        <f>MID(Table2[[#This Row],[تاريخ تاييد]],6,2)</f>
        <v>12</v>
      </c>
      <c r="G210" s="11" t="str">
        <f>LEFT(Table2[[#This Row],[تاريخ تاييد]],4)</f>
        <v>1403</v>
      </c>
      <c r="H210" s="11" t="str">
        <f>VLOOKUP(Table2[[#This Row],[شماره فني]],Sheet7!A:C,3,0)</f>
        <v>جلو آمپر</v>
      </c>
      <c r="I210" s="11" t="str">
        <f>VLOOKUP(Table2[[#This Row],[شماره فني]],Sheet7!A:B,2,0)</f>
        <v>جلو آمپر207  معمولی85 گانه</v>
      </c>
      <c r="J210" s="11" t="s">
        <v>603</v>
      </c>
      <c r="K210" s="11" t="s">
        <v>335</v>
      </c>
      <c r="L210" s="11" t="s">
        <v>23</v>
      </c>
      <c r="M210" s="11" t="s">
        <v>762</v>
      </c>
      <c r="N210" s="11" t="s">
        <v>261</v>
      </c>
      <c r="O210" s="11" t="s">
        <v>261</v>
      </c>
      <c r="P210" s="11" t="s">
        <v>261</v>
      </c>
      <c r="Q210" s="11" t="s">
        <v>261</v>
      </c>
      <c r="R210" s="11" t="s">
        <v>964</v>
      </c>
      <c r="S210" s="11" t="s">
        <v>261</v>
      </c>
      <c r="T210" s="11" t="s">
        <v>261</v>
      </c>
      <c r="U210" s="11" t="s">
        <v>570</v>
      </c>
      <c r="V210" s="11" t="s">
        <v>570</v>
      </c>
      <c r="W210" s="11">
        <v>1</v>
      </c>
      <c r="X210" s="11" t="s">
        <v>30</v>
      </c>
      <c r="Y210" s="11" t="s">
        <v>261</v>
      </c>
      <c r="Z210" s="11" t="s">
        <v>762</v>
      </c>
      <c r="AA210" s="11" t="s">
        <v>66</v>
      </c>
      <c r="AB210" s="11" t="s">
        <v>583</v>
      </c>
      <c r="AC210" s="11" t="s">
        <v>261</v>
      </c>
      <c r="AD210" s="11" t="s">
        <v>261</v>
      </c>
      <c r="AE210" s="11" t="s">
        <v>551</v>
      </c>
      <c r="AF210" s="12" t="s">
        <v>965</v>
      </c>
      <c r="AG210" s="11" t="s">
        <v>261</v>
      </c>
    </row>
    <row r="211" spans="1:33" ht="30" hidden="1" x14ac:dyDescent="0.25">
      <c r="A211" s="11">
        <v>1</v>
      </c>
      <c r="B211" s="3" t="s">
        <v>261</v>
      </c>
      <c r="C211" s="11">
        <v>210679</v>
      </c>
      <c r="D211" s="11" t="s">
        <v>599</v>
      </c>
      <c r="E211" s="11" t="str">
        <f>MID(Table2[[#This Row],[تاريخ تاييد]],1,7)</f>
        <v>1403/12</v>
      </c>
      <c r="F211" s="11" t="str">
        <f>MID(Table2[[#This Row],[تاريخ تاييد]],6,2)</f>
        <v>12</v>
      </c>
      <c r="G211" s="11" t="str">
        <f>LEFT(Table2[[#This Row],[تاريخ تاييد]],4)</f>
        <v>1403</v>
      </c>
      <c r="H211" s="11" t="str">
        <f>VLOOKUP(Table2[[#This Row],[شماره فني]],Sheet7!A:C,3,0)</f>
        <v>جلو آمپر</v>
      </c>
      <c r="I211" s="11" t="str">
        <f>VLOOKUP(Table2[[#This Row],[شماره فني]],Sheet7!A:B,2,0)</f>
        <v>جلو آمپر207 اتوماتیک85 گانه</v>
      </c>
      <c r="J211" s="11" t="s">
        <v>604</v>
      </c>
      <c r="K211" s="11" t="s">
        <v>334</v>
      </c>
      <c r="L211" s="11" t="s">
        <v>23</v>
      </c>
      <c r="M211" s="11" t="s">
        <v>762</v>
      </c>
      <c r="N211" s="11" t="s">
        <v>261</v>
      </c>
      <c r="O211" s="11" t="s">
        <v>261</v>
      </c>
      <c r="P211" s="11" t="s">
        <v>261</v>
      </c>
      <c r="Q211" s="11" t="s">
        <v>261</v>
      </c>
      <c r="R211" s="11" t="s">
        <v>763</v>
      </c>
      <c r="S211" s="11" t="s">
        <v>764</v>
      </c>
      <c r="T211" s="11" t="s">
        <v>816</v>
      </c>
      <c r="U211" s="11" t="s">
        <v>918</v>
      </c>
      <c r="V211" s="11" t="s">
        <v>764</v>
      </c>
      <c r="W211" s="11">
        <v>1</v>
      </c>
      <c r="X211" s="11" t="s">
        <v>31</v>
      </c>
      <c r="Y211" s="11" t="s">
        <v>261</v>
      </c>
      <c r="Z211" s="11" t="s">
        <v>762</v>
      </c>
      <c r="AA211" s="11" t="s">
        <v>66</v>
      </c>
      <c r="AB211" s="11" t="s">
        <v>26</v>
      </c>
      <c r="AC211" s="11" t="s">
        <v>261</v>
      </c>
      <c r="AD211" s="11" t="s">
        <v>261</v>
      </c>
      <c r="AE211" s="11" t="s">
        <v>551</v>
      </c>
      <c r="AF211" s="12" t="s">
        <v>261</v>
      </c>
      <c r="AG211" s="11" t="s">
        <v>261</v>
      </c>
    </row>
    <row r="212" spans="1:33" ht="30" hidden="1" x14ac:dyDescent="0.25">
      <c r="A212" s="11">
        <v>1</v>
      </c>
      <c r="B212" s="3" t="s">
        <v>261</v>
      </c>
      <c r="C212" s="11">
        <v>210750</v>
      </c>
      <c r="D212" s="11" t="s">
        <v>599</v>
      </c>
      <c r="E212" s="11" t="str">
        <f>MID(Table2[[#This Row],[تاريخ تاييد]],1,7)</f>
        <v>1403/12</v>
      </c>
      <c r="F212" s="11" t="str">
        <f>MID(Table2[[#This Row],[تاريخ تاييد]],6,2)</f>
        <v>12</v>
      </c>
      <c r="G212" s="11" t="str">
        <f>LEFT(Table2[[#This Row],[تاريخ تاييد]],4)</f>
        <v>1403</v>
      </c>
      <c r="H212" s="11" t="str">
        <f>VLOOKUP(Table2[[#This Row],[شماره فني]],Sheet7!A:C,3,0)</f>
        <v>NOD</v>
      </c>
      <c r="I212" s="11" t="str">
        <f>VLOOKUP(Table2[[#This Row],[شماره فني]],Sheet7!A:B,2,0)</f>
        <v>NBCM TARA SAL</v>
      </c>
      <c r="J212" s="11" t="s">
        <v>605</v>
      </c>
      <c r="K212" s="11" t="s">
        <v>724</v>
      </c>
      <c r="L212" s="11" t="s">
        <v>23</v>
      </c>
      <c r="M212" s="11" t="s">
        <v>769</v>
      </c>
      <c r="N212" s="11" t="s">
        <v>261</v>
      </c>
      <c r="O212" s="11" t="s">
        <v>261</v>
      </c>
      <c r="P212" s="11" t="s">
        <v>261</v>
      </c>
      <c r="Q212" s="11" t="s">
        <v>261</v>
      </c>
      <c r="R212" s="11" t="s">
        <v>771</v>
      </c>
      <c r="S212" s="11" t="s">
        <v>772</v>
      </c>
      <c r="T212" s="11" t="s">
        <v>830</v>
      </c>
      <c r="U212" s="11" t="s">
        <v>901</v>
      </c>
      <c r="V212" s="11" t="s">
        <v>773</v>
      </c>
      <c r="W212" s="11">
        <v>1</v>
      </c>
      <c r="X212" s="11" t="s">
        <v>95</v>
      </c>
      <c r="Y212" s="11" t="s">
        <v>261</v>
      </c>
      <c r="Z212" s="11" t="s">
        <v>769</v>
      </c>
      <c r="AA212" s="11" t="s">
        <v>66</v>
      </c>
      <c r="AB212" s="11" t="s">
        <v>27</v>
      </c>
      <c r="AC212" s="11" t="s">
        <v>986</v>
      </c>
      <c r="AD212" s="11" t="s">
        <v>774</v>
      </c>
      <c r="AE212" s="11" t="s">
        <v>551</v>
      </c>
      <c r="AF212" s="12" t="s">
        <v>261</v>
      </c>
      <c r="AG212" s="11" t="s">
        <v>261</v>
      </c>
    </row>
    <row r="213" spans="1:33" ht="30" hidden="1" x14ac:dyDescent="0.25">
      <c r="A213" s="11">
        <v>1</v>
      </c>
      <c r="B213" s="3" t="s">
        <v>261</v>
      </c>
      <c r="C213" s="11">
        <v>210931</v>
      </c>
      <c r="D213" s="11" t="s">
        <v>779</v>
      </c>
      <c r="E213" s="11" t="str">
        <f>MID(Table2[[#This Row],[تاريخ تاييد]],1,7)</f>
        <v>1403/12</v>
      </c>
      <c r="F213" s="11" t="str">
        <f>MID(Table2[[#This Row],[تاريخ تاييد]],6,2)</f>
        <v>12</v>
      </c>
      <c r="G213" s="11" t="str">
        <f>LEFT(Table2[[#This Row],[تاريخ تاييد]],4)</f>
        <v>1403</v>
      </c>
      <c r="H213" s="11" t="str">
        <f>VLOOKUP(Table2[[#This Row],[شماره فني]],Sheet7!A:C,3,0)</f>
        <v>جلو آمپر</v>
      </c>
      <c r="I213" s="11" t="str">
        <f>VLOOKUP(Table2[[#This Row],[شماره فني]],Sheet7!A:B,2,0)</f>
        <v>جلو آمپر تارا اتوماتیک</v>
      </c>
      <c r="J213" s="11" t="s">
        <v>778</v>
      </c>
      <c r="K213" s="11" t="s">
        <v>724</v>
      </c>
      <c r="L213" s="11" t="s">
        <v>22</v>
      </c>
      <c r="M213" s="11" t="s">
        <v>769</v>
      </c>
      <c r="N213" s="11" t="s">
        <v>261</v>
      </c>
      <c r="O213" s="11" t="s">
        <v>261</v>
      </c>
      <c r="P213" s="11" t="s">
        <v>261</v>
      </c>
      <c r="Q213" s="11" t="s">
        <v>261</v>
      </c>
      <c r="R213" s="11" t="s">
        <v>780</v>
      </c>
      <c r="S213" s="11" t="s">
        <v>261</v>
      </c>
      <c r="T213" s="11" t="s">
        <v>820</v>
      </c>
      <c r="U213" s="11" t="s">
        <v>797</v>
      </c>
      <c r="V213" s="11" t="s">
        <v>583</v>
      </c>
      <c r="W213" s="11">
        <v>3</v>
      </c>
      <c r="X213" s="11" t="s">
        <v>20</v>
      </c>
      <c r="Y213" s="11" t="s">
        <v>261</v>
      </c>
      <c r="Z213" s="11" t="s">
        <v>769</v>
      </c>
      <c r="AA213" s="11" t="s">
        <v>66</v>
      </c>
      <c r="AB213" s="11" t="s">
        <v>28</v>
      </c>
      <c r="AC213" s="11" t="s">
        <v>261</v>
      </c>
      <c r="AD213" s="11" t="s">
        <v>781</v>
      </c>
      <c r="AE213" s="11" t="s">
        <v>551</v>
      </c>
      <c r="AF213" s="12" t="s">
        <v>261</v>
      </c>
      <c r="AG213" s="11" t="s">
        <v>261</v>
      </c>
    </row>
    <row r="214" spans="1:33" ht="30" hidden="1" x14ac:dyDescent="0.25">
      <c r="A214" s="11">
        <v>1</v>
      </c>
      <c r="B214" s="11">
        <v>0</v>
      </c>
      <c r="C214" s="11">
        <v>211052</v>
      </c>
      <c r="D214" s="11" t="s">
        <v>775</v>
      </c>
      <c r="E214" s="11" t="str">
        <f>MID(Table2[[#This Row],[تاريخ تاييد]],1,7)</f>
        <v>1403/12</v>
      </c>
      <c r="F214" s="11" t="str">
        <f>MID(Table2[[#This Row],[تاريخ تاييد]],6,2)</f>
        <v>12</v>
      </c>
      <c r="G214" s="11" t="str">
        <f>LEFT(Table2[[#This Row],[تاريخ تاييد]],4)</f>
        <v>1403</v>
      </c>
      <c r="H214" s="11" t="str">
        <f>VLOOKUP(Table2[[#This Row],[شماره فني]],Sheet7!A:C,3,0)</f>
        <v>NOD</v>
      </c>
      <c r="I214" s="11" t="str">
        <f>VLOOKUP(Table2[[#This Row],[شماره فني]],Sheet7!A:B,2,0)</f>
        <v>NBCM TARA SAL</v>
      </c>
      <c r="J214" s="11" t="s">
        <v>782</v>
      </c>
      <c r="K214" s="11" t="s">
        <v>232</v>
      </c>
      <c r="L214" s="11" t="s">
        <v>22</v>
      </c>
      <c r="M214" s="11" t="s">
        <v>769</v>
      </c>
      <c r="N214" s="11" t="s">
        <v>261</v>
      </c>
      <c r="O214" s="11" t="s">
        <v>261</v>
      </c>
      <c r="P214" s="11" t="s">
        <v>261</v>
      </c>
      <c r="Q214" s="11" t="s">
        <v>261</v>
      </c>
      <c r="R214" s="11" t="s">
        <v>783</v>
      </c>
      <c r="S214" s="11" t="s">
        <v>261</v>
      </c>
      <c r="T214" s="11" t="s">
        <v>822</v>
      </c>
      <c r="U214" s="11" t="s">
        <v>797</v>
      </c>
      <c r="V214" s="11" t="s">
        <v>561</v>
      </c>
      <c r="W214" s="11">
        <v>1</v>
      </c>
      <c r="X214" s="11" t="s">
        <v>95</v>
      </c>
      <c r="Y214" s="11" t="s">
        <v>261</v>
      </c>
      <c r="Z214" s="11" t="s">
        <v>769</v>
      </c>
      <c r="AA214" s="11" t="s">
        <v>66</v>
      </c>
      <c r="AB214" s="11" t="s">
        <v>28</v>
      </c>
      <c r="AC214" s="11" t="s">
        <v>261</v>
      </c>
      <c r="AD214" s="11" t="s">
        <v>261</v>
      </c>
      <c r="AE214" s="11" t="s">
        <v>551</v>
      </c>
      <c r="AF214" s="12" t="s">
        <v>261</v>
      </c>
      <c r="AG214" s="11" t="s">
        <v>261</v>
      </c>
    </row>
    <row r="215" spans="1:33" ht="30" hidden="1" x14ac:dyDescent="0.25">
      <c r="A215" s="11">
        <v>1</v>
      </c>
      <c r="B215" s="3" t="s">
        <v>261</v>
      </c>
      <c r="C215" s="11">
        <v>211066</v>
      </c>
      <c r="D215" s="11" t="s">
        <v>775</v>
      </c>
      <c r="E215" s="11" t="str">
        <f>MID(Table2[[#This Row],[تاريخ تاييد]],1,7)</f>
        <v>1403/12</v>
      </c>
      <c r="F215" s="11" t="str">
        <f>MID(Table2[[#This Row],[تاريخ تاييد]],6,2)</f>
        <v>12</v>
      </c>
      <c r="G215" s="11" t="str">
        <f>LEFT(Table2[[#This Row],[تاريخ تاييد]],4)</f>
        <v>1403</v>
      </c>
      <c r="H215" s="11" t="str">
        <f>VLOOKUP(Table2[[#This Row],[شماره فني]],Sheet7!A:C,3,0)</f>
        <v>جلو آمپر</v>
      </c>
      <c r="I215" s="11" t="str">
        <f>VLOOKUP(Table2[[#This Row],[شماره فني]],Sheet7!A:B,2,0)</f>
        <v>جلو آمپر تارا اتوماتیک</v>
      </c>
      <c r="J215" s="11" t="s">
        <v>776</v>
      </c>
      <c r="K215" s="11" t="s">
        <v>724</v>
      </c>
      <c r="L215" s="11" t="s">
        <v>23</v>
      </c>
      <c r="M215" s="11" t="s">
        <v>769</v>
      </c>
      <c r="N215" s="11" t="s">
        <v>261</v>
      </c>
      <c r="O215" s="11" t="s">
        <v>261</v>
      </c>
      <c r="P215" s="11" t="s">
        <v>261</v>
      </c>
      <c r="Q215" s="11" t="s">
        <v>261</v>
      </c>
      <c r="R215" s="11" t="s">
        <v>777</v>
      </c>
      <c r="S215" s="11" t="s">
        <v>261</v>
      </c>
      <c r="T215" s="11" t="s">
        <v>261</v>
      </c>
      <c r="U215" s="11" t="s">
        <v>570</v>
      </c>
      <c r="V215" s="11" t="s">
        <v>570</v>
      </c>
      <c r="W215" s="11">
        <v>1</v>
      </c>
      <c r="X215" s="11" t="s">
        <v>20</v>
      </c>
      <c r="Y215" s="11" t="s">
        <v>261</v>
      </c>
      <c r="Z215" s="11" t="s">
        <v>769</v>
      </c>
      <c r="AA215" s="11" t="s">
        <v>66</v>
      </c>
      <c r="AB215" s="11" t="s">
        <v>583</v>
      </c>
      <c r="AC215" s="11" t="s">
        <v>261</v>
      </c>
      <c r="AD215" s="11" t="s">
        <v>261</v>
      </c>
      <c r="AE215" s="11" t="s">
        <v>551</v>
      </c>
      <c r="AF215" s="12" t="s">
        <v>261</v>
      </c>
      <c r="AG215" s="11" t="s">
        <v>261</v>
      </c>
    </row>
    <row r="216" spans="1:33" ht="45" x14ac:dyDescent="0.25">
      <c r="A216" s="11">
        <v>1</v>
      </c>
      <c r="B216" s="3" t="s">
        <v>261</v>
      </c>
      <c r="C216" s="11">
        <v>211086</v>
      </c>
      <c r="D216" s="11" t="s">
        <v>608</v>
      </c>
      <c r="E216" s="11" t="str">
        <f>MID(Table2[[#This Row],[تاريخ تاييد]],1,7)</f>
        <v>1404/01</v>
      </c>
      <c r="F216" s="11" t="str">
        <f>MID(Table2[[#This Row],[تاريخ تاييد]],6,2)</f>
        <v>01</v>
      </c>
      <c r="G216" s="11" t="str">
        <f>LEFT(Table2[[#This Row],[تاريخ تاييد]],4)</f>
        <v>1404</v>
      </c>
      <c r="H216" s="11" t="str">
        <f>VLOOKUP(Table2[[#This Row],[شماره فني]],Sheet7!A:C,3,0)</f>
        <v>جلو آمپر</v>
      </c>
      <c r="I216" s="11" t="str">
        <f>VLOOKUP(Table2[[#This Row],[شماره فني]],Sheet7!A:B,2,0)</f>
        <v>جلو آمپرSOREN TC 85 گانه</v>
      </c>
      <c r="J216" s="11" t="s">
        <v>611</v>
      </c>
      <c r="K216" s="11" t="s">
        <v>231</v>
      </c>
      <c r="L216" s="11" t="s">
        <v>261</v>
      </c>
      <c r="M216" s="11" t="s">
        <v>261</v>
      </c>
      <c r="N216" s="11" t="s">
        <v>261</v>
      </c>
      <c r="O216" s="11" t="s">
        <v>261</v>
      </c>
      <c r="P216" s="11" t="s">
        <v>261</v>
      </c>
      <c r="Q216" s="11" t="s">
        <v>261</v>
      </c>
      <c r="R216" s="11" t="s">
        <v>961</v>
      </c>
      <c r="S216" s="11" t="s">
        <v>261</v>
      </c>
      <c r="T216" s="11" t="s">
        <v>261</v>
      </c>
      <c r="U216" s="11" t="s">
        <v>552</v>
      </c>
      <c r="V216" s="11" t="s">
        <v>784</v>
      </c>
      <c r="W216" s="11">
        <v>2</v>
      </c>
      <c r="X216" s="11" t="s">
        <v>32</v>
      </c>
      <c r="Y216" s="11" t="s">
        <v>261</v>
      </c>
      <c r="Z216" s="11" t="s">
        <v>261</v>
      </c>
      <c r="AA216" s="11" t="s">
        <v>261</v>
      </c>
      <c r="AB216" s="11" t="s">
        <v>583</v>
      </c>
      <c r="AC216" s="11" t="s">
        <v>261</v>
      </c>
      <c r="AD216" s="11" t="s">
        <v>261</v>
      </c>
      <c r="AE216" s="11" t="s">
        <v>551</v>
      </c>
      <c r="AF216" s="12" t="s">
        <v>261</v>
      </c>
      <c r="AG216" s="11" t="s">
        <v>261</v>
      </c>
    </row>
    <row r="217" spans="1:33" ht="30" hidden="1" x14ac:dyDescent="0.25">
      <c r="A217" s="11">
        <v>1</v>
      </c>
      <c r="B217" s="3" t="s">
        <v>261</v>
      </c>
      <c r="C217" s="11">
        <v>211232</v>
      </c>
      <c r="D217" s="11" t="s">
        <v>767</v>
      </c>
      <c r="E217" s="11" t="str">
        <f>MID(Table2[[#This Row],[تاريخ تاييد]],1,7)</f>
        <v>1403/12</v>
      </c>
      <c r="F217" s="11" t="str">
        <f>MID(Table2[[#This Row],[تاريخ تاييد]],6,2)</f>
        <v>12</v>
      </c>
      <c r="G217" s="11" t="str">
        <f>LEFT(Table2[[#This Row],[تاريخ تاييد]],4)</f>
        <v>1403</v>
      </c>
      <c r="H217" s="11" t="str">
        <f>VLOOKUP(Table2[[#This Row],[شماره فني]],Sheet7!A:C,3,0)</f>
        <v>NOD</v>
      </c>
      <c r="I217" s="11" t="str">
        <f>VLOOKUP(Table2[[#This Row],[شماره فني]],Sheet7!A:B,2,0)</f>
        <v>NBCM 207</v>
      </c>
      <c r="J217" s="11" t="s">
        <v>768</v>
      </c>
      <c r="K217" s="11" t="s">
        <v>726</v>
      </c>
      <c r="L217" s="11" t="s">
        <v>22</v>
      </c>
      <c r="M217" s="11" t="s">
        <v>769</v>
      </c>
      <c r="N217" s="11" t="s">
        <v>261</v>
      </c>
      <c r="O217" s="11" t="s">
        <v>261</v>
      </c>
      <c r="P217" s="11" t="s">
        <v>261</v>
      </c>
      <c r="Q217" s="11" t="s">
        <v>261</v>
      </c>
      <c r="R217" s="11" t="s">
        <v>770</v>
      </c>
      <c r="S217" s="11" t="s">
        <v>261</v>
      </c>
      <c r="T217" s="11" t="s">
        <v>802</v>
      </c>
      <c r="U217" s="11" t="s">
        <v>797</v>
      </c>
      <c r="V217" s="11" t="s">
        <v>561</v>
      </c>
      <c r="W217" s="11">
        <v>1</v>
      </c>
      <c r="X217" s="11" t="s">
        <v>19</v>
      </c>
      <c r="Y217" s="11" t="s">
        <v>261</v>
      </c>
      <c r="Z217" s="11" t="s">
        <v>261</v>
      </c>
      <c r="AA217" s="11" t="s">
        <v>261</v>
      </c>
      <c r="AB217" s="11" t="s">
        <v>28</v>
      </c>
      <c r="AC217" s="11" t="s">
        <v>261</v>
      </c>
      <c r="AD217" s="11" t="s">
        <v>261</v>
      </c>
      <c r="AE217" s="11" t="s">
        <v>551</v>
      </c>
      <c r="AF217" s="12" t="s">
        <v>261</v>
      </c>
      <c r="AG217" s="11" t="s">
        <v>261</v>
      </c>
    </row>
    <row r="218" spans="1:33" ht="30" x14ac:dyDescent="0.25">
      <c r="A218" s="11">
        <v>1</v>
      </c>
      <c r="B218" s="3" t="s">
        <v>261</v>
      </c>
      <c r="C218" s="11">
        <v>211340</v>
      </c>
      <c r="D218" s="11" t="s">
        <v>609</v>
      </c>
      <c r="E218" s="11" t="str">
        <f>MID(Table2[[#This Row],[تاريخ تاييد]],1,7)</f>
        <v>1404/01</v>
      </c>
      <c r="F218" s="11" t="str">
        <f>MID(Table2[[#This Row],[تاريخ تاييد]],6,2)</f>
        <v>01</v>
      </c>
      <c r="G218" s="11" t="str">
        <f>LEFT(Table2[[#This Row],[تاريخ تاييد]],4)</f>
        <v>1404</v>
      </c>
      <c r="H218" s="11" t="str">
        <f>VLOOKUP(Table2[[#This Row],[شماره فني]],Sheet7!A:C,3,0)</f>
        <v>جلو آمپر</v>
      </c>
      <c r="I218" s="11" t="str">
        <f>VLOOKUP(Table2[[#This Row],[شماره فني]],Sheet7!A:B,2,0)</f>
        <v>جلو آمپر207 اتوماتیک85 گانه</v>
      </c>
      <c r="J218" s="11" t="s">
        <v>612</v>
      </c>
      <c r="K218" s="11" t="s">
        <v>335</v>
      </c>
      <c r="L218" s="11" t="s">
        <v>22</v>
      </c>
      <c r="M218" s="11" t="s">
        <v>713</v>
      </c>
      <c r="N218" s="11" t="s">
        <v>261</v>
      </c>
      <c r="O218" s="11" t="s">
        <v>261</v>
      </c>
      <c r="P218" s="11" t="s">
        <v>261</v>
      </c>
      <c r="Q218" s="11" t="s">
        <v>261</v>
      </c>
      <c r="R218" s="11" t="s">
        <v>760</v>
      </c>
      <c r="S218" s="11" t="s">
        <v>261</v>
      </c>
      <c r="T218" s="11" t="s">
        <v>834</v>
      </c>
      <c r="U218" s="11" t="s">
        <v>833</v>
      </c>
      <c r="V218" s="11" t="s">
        <v>761</v>
      </c>
      <c r="W218" s="11">
        <v>1</v>
      </c>
      <c r="X218" s="11" t="s">
        <v>31</v>
      </c>
      <c r="Y218" s="11" t="s">
        <v>261</v>
      </c>
      <c r="Z218" s="11" t="s">
        <v>713</v>
      </c>
      <c r="AA218" s="11" t="s">
        <v>66</v>
      </c>
      <c r="AB218" s="11" t="s">
        <v>27</v>
      </c>
      <c r="AC218" s="11" t="s">
        <v>960</v>
      </c>
      <c r="AD218" s="11" t="s">
        <v>261</v>
      </c>
      <c r="AE218" s="11" t="s">
        <v>551</v>
      </c>
      <c r="AF218" s="12" t="s">
        <v>261</v>
      </c>
      <c r="AG218" s="11" t="s">
        <v>261</v>
      </c>
    </row>
    <row r="219" spans="1:33" ht="45" x14ac:dyDescent="0.25">
      <c r="A219" s="11">
        <v>1</v>
      </c>
      <c r="B219" s="3" t="s">
        <v>261</v>
      </c>
      <c r="C219" s="11">
        <v>211469</v>
      </c>
      <c r="D219" s="11" t="s">
        <v>610</v>
      </c>
      <c r="E219" s="11" t="str">
        <f>MID(Table2[[#This Row],[تاريخ تاييد]],1,7)</f>
        <v>1404/01</v>
      </c>
      <c r="F219" s="11" t="str">
        <f>MID(Table2[[#This Row],[تاريخ تاييد]],6,2)</f>
        <v>01</v>
      </c>
      <c r="G219" s="11" t="str">
        <f>LEFT(Table2[[#This Row],[تاريخ تاييد]],4)</f>
        <v>1404</v>
      </c>
      <c r="H219" s="11" t="str">
        <f>VLOOKUP(Table2[[#This Row],[شماره فني]],Sheet7!A:C,3,0)</f>
        <v>جلو آمپر</v>
      </c>
      <c r="I219" s="11" t="str">
        <f>VLOOKUP(Table2[[#This Row],[شماره فني]],Sheet7!A:B,2,0)</f>
        <v>جلو آمپر تارا دستی</v>
      </c>
      <c r="J219" s="11" t="s">
        <v>613</v>
      </c>
      <c r="K219" s="11" t="s">
        <v>233</v>
      </c>
      <c r="L219" s="11" t="s">
        <v>261</v>
      </c>
      <c r="M219" s="11" t="s">
        <v>261</v>
      </c>
      <c r="N219" s="11" t="s">
        <v>261</v>
      </c>
      <c r="O219" s="11" t="s">
        <v>261</v>
      </c>
      <c r="P219" s="11" t="s">
        <v>261</v>
      </c>
      <c r="Q219" s="11" t="s">
        <v>261</v>
      </c>
      <c r="R219" s="11" t="s">
        <v>961</v>
      </c>
      <c r="S219" s="11" t="s">
        <v>261</v>
      </c>
      <c r="T219" s="11" t="s">
        <v>261</v>
      </c>
      <c r="U219" s="11" t="s">
        <v>552</v>
      </c>
      <c r="V219" s="11" t="s">
        <v>784</v>
      </c>
      <c r="W219" s="11">
        <v>1</v>
      </c>
      <c r="X219" s="11" t="s">
        <v>97</v>
      </c>
      <c r="Y219" s="11" t="s">
        <v>261</v>
      </c>
      <c r="Z219" s="11" t="s">
        <v>261</v>
      </c>
      <c r="AA219" s="11" t="s">
        <v>261</v>
      </c>
      <c r="AB219" s="11" t="s">
        <v>583</v>
      </c>
      <c r="AC219" s="11" t="s">
        <v>261</v>
      </c>
      <c r="AD219" s="11" t="s">
        <v>261</v>
      </c>
      <c r="AE219" s="11" t="s">
        <v>551</v>
      </c>
      <c r="AF219" s="12" t="s">
        <v>261</v>
      </c>
      <c r="AG219" s="11" t="s">
        <v>261</v>
      </c>
    </row>
    <row r="220" spans="1:33" ht="30" x14ac:dyDescent="0.25">
      <c r="A220" s="11">
        <v>1</v>
      </c>
      <c r="B220" s="3" t="s">
        <v>261</v>
      </c>
      <c r="C220" s="11">
        <v>211517</v>
      </c>
      <c r="D220" s="11" t="s">
        <v>610</v>
      </c>
      <c r="E220" s="11" t="str">
        <f>MID(Table2[[#This Row],[تاريخ تاييد]],1,7)</f>
        <v>1404/01</v>
      </c>
      <c r="F220" s="11" t="str">
        <f>MID(Table2[[#This Row],[تاريخ تاييد]],6,2)</f>
        <v>01</v>
      </c>
      <c r="G220" s="11" t="str">
        <f>LEFT(Table2[[#This Row],[تاريخ تاييد]],4)</f>
        <v>1404</v>
      </c>
      <c r="H220" s="11" t="str">
        <f>VLOOKUP(Table2[[#This Row],[شماره فني]],Sheet7!A:C,3,0)</f>
        <v>جلو آمپر</v>
      </c>
      <c r="I220" s="11" t="str">
        <f>VLOOKUP(Table2[[#This Row],[شماره فني]],Sheet7!A:B,2,0)</f>
        <v>جلو آمپر207  معمولی85 گانه</v>
      </c>
      <c r="J220" s="11" t="s">
        <v>614</v>
      </c>
      <c r="K220" s="11" t="s">
        <v>334</v>
      </c>
      <c r="L220" s="11" t="s">
        <v>22</v>
      </c>
      <c r="M220" s="11" t="s">
        <v>713</v>
      </c>
      <c r="N220" s="11" t="s">
        <v>261</v>
      </c>
      <c r="O220" s="11" t="s">
        <v>261</v>
      </c>
      <c r="P220" s="11" t="s">
        <v>261</v>
      </c>
      <c r="Q220" s="11" t="s">
        <v>261</v>
      </c>
      <c r="R220" s="11" t="s">
        <v>758</v>
      </c>
      <c r="S220" s="11" t="s">
        <v>759</v>
      </c>
      <c r="T220" s="11" t="s">
        <v>817</v>
      </c>
      <c r="U220" s="11" t="s">
        <v>813</v>
      </c>
      <c r="V220" s="11" t="s">
        <v>974</v>
      </c>
      <c r="W220" s="11">
        <v>1</v>
      </c>
      <c r="X220" s="11" t="s">
        <v>30</v>
      </c>
      <c r="Y220" s="11" t="s">
        <v>261</v>
      </c>
      <c r="Z220" s="11" t="s">
        <v>713</v>
      </c>
      <c r="AA220" s="11" t="s">
        <v>66</v>
      </c>
      <c r="AB220" s="11" t="s">
        <v>27</v>
      </c>
      <c r="AC220" s="11" t="s">
        <v>987</v>
      </c>
      <c r="AD220" s="11" t="s">
        <v>261</v>
      </c>
      <c r="AE220" s="11" t="s">
        <v>551</v>
      </c>
      <c r="AF220" s="12" t="s">
        <v>963</v>
      </c>
      <c r="AG220" s="11" t="s">
        <v>261</v>
      </c>
    </row>
    <row r="221" spans="1:33" ht="45" x14ac:dyDescent="0.25">
      <c r="A221" s="11">
        <v>1</v>
      </c>
      <c r="B221" s="3" t="s">
        <v>261</v>
      </c>
      <c r="C221" s="11">
        <v>211539</v>
      </c>
      <c r="D221" s="11" t="s">
        <v>709</v>
      </c>
      <c r="E221" s="11" t="str">
        <f>MID(Table2[[#This Row],[تاريخ تاييد]],1,7)</f>
        <v>1404/01</v>
      </c>
      <c r="F221" s="11" t="str">
        <f>MID(Table2[[#This Row],[تاريخ تاييد]],6,2)</f>
        <v>01</v>
      </c>
      <c r="G221" s="11" t="str">
        <f>LEFT(Table2[[#This Row],[تاريخ تاييد]],4)</f>
        <v>1404</v>
      </c>
      <c r="H221" s="11" t="str">
        <f>VLOOKUP(Table2[[#This Row],[شماره فني]],Sheet7!A:C,3,0)</f>
        <v>کلید شیشه بالابر</v>
      </c>
      <c r="I221" s="11" t="str">
        <f>VLOOKUP(Table2[[#This Row],[شماره فني]],Sheet7!A:B,2,0)</f>
        <v>کلید شیشه بالابر جلو چپ سورن</v>
      </c>
      <c r="J221" s="11" t="s">
        <v>715</v>
      </c>
      <c r="K221" s="11" t="s">
        <v>334</v>
      </c>
      <c r="L221" s="11" t="s">
        <v>261</v>
      </c>
      <c r="M221" s="11" t="s">
        <v>261</v>
      </c>
      <c r="N221" s="11" t="s">
        <v>261</v>
      </c>
      <c r="O221" s="11" t="s">
        <v>261</v>
      </c>
      <c r="P221" s="11" t="s">
        <v>261</v>
      </c>
      <c r="Q221" s="11" t="s">
        <v>261</v>
      </c>
      <c r="R221" s="11" t="s">
        <v>961</v>
      </c>
      <c r="S221" s="11" t="s">
        <v>261</v>
      </c>
      <c r="T221" s="11" t="s">
        <v>261</v>
      </c>
      <c r="U221" s="11" t="s">
        <v>552</v>
      </c>
      <c r="V221" s="11" t="s">
        <v>784</v>
      </c>
      <c r="W221" s="11">
        <v>1</v>
      </c>
      <c r="X221" s="11" t="s">
        <v>306</v>
      </c>
      <c r="Y221" s="11" t="s">
        <v>261</v>
      </c>
      <c r="Z221" s="11" t="s">
        <v>261</v>
      </c>
      <c r="AA221" s="11" t="s">
        <v>261</v>
      </c>
      <c r="AB221" s="11" t="s">
        <v>583</v>
      </c>
      <c r="AC221" s="11" t="s">
        <v>261</v>
      </c>
      <c r="AD221" s="11" t="s">
        <v>261</v>
      </c>
      <c r="AE221" s="11" t="s">
        <v>551</v>
      </c>
      <c r="AF221" s="12" t="s">
        <v>261</v>
      </c>
      <c r="AG221" s="11" t="s">
        <v>261</v>
      </c>
    </row>
    <row r="222" spans="1:33" ht="30" x14ac:dyDescent="0.25">
      <c r="A222" s="11">
        <v>1</v>
      </c>
      <c r="B222" s="3" t="s">
        <v>261</v>
      </c>
      <c r="C222" s="11">
        <v>211559</v>
      </c>
      <c r="D222" s="11" t="s">
        <v>610</v>
      </c>
      <c r="E222" s="11" t="str">
        <f>MID(Table2[[#This Row],[تاريخ تاييد]],1,7)</f>
        <v>1404/01</v>
      </c>
      <c r="F222" s="11" t="str">
        <f>MID(Table2[[#This Row],[تاريخ تاييد]],6,2)</f>
        <v>01</v>
      </c>
      <c r="G222" s="11" t="str">
        <f>LEFT(Table2[[#This Row],[تاريخ تاييد]],4)</f>
        <v>1404</v>
      </c>
      <c r="H222" s="11" t="str">
        <f>VLOOKUP(Table2[[#This Row],[شماره فني]],Sheet7!A:C,3,0)</f>
        <v>جلو آمپر</v>
      </c>
      <c r="I222" s="11" t="str">
        <f>VLOOKUP(Table2[[#This Row],[شماره فني]],Sheet7!A:B,2,0)</f>
        <v>جلو آمپر تارا اتوماتیک</v>
      </c>
      <c r="J222" s="11" t="s">
        <v>615</v>
      </c>
      <c r="K222" s="11" t="s">
        <v>335</v>
      </c>
      <c r="L222" s="11" t="s">
        <v>23</v>
      </c>
      <c r="M222" s="11" t="s">
        <v>713</v>
      </c>
      <c r="N222" s="11" t="s">
        <v>261</v>
      </c>
      <c r="O222" s="11" t="s">
        <v>261</v>
      </c>
      <c r="P222" s="11" t="s">
        <v>261</v>
      </c>
      <c r="Q222" s="11" t="s">
        <v>261</v>
      </c>
      <c r="R222" s="11" t="s">
        <v>261</v>
      </c>
      <c r="S222" s="11" t="s">
        <v>261</v>
      </c>
      <c r="T222" s="11" t="s">
        <v>801</v>
      </c>
      <c r="U222" s="11" t="s">
        <v>797</v>
      </c>
      <c r="V222" s="11" t="s">
        <v>561</v>
      </c>
      <c r="W222" s="11">
        <v>1</v>
      </c>
      <c r="X222" s="11" t="s">
        <v>20</v>
      </c>
      <c r="Y222" s="11" t="s">
        <v>261</v>
      </c>
      <c r="Z222" s="11" t="s">
        <v>713</v>
      </c>
      <c r="AA222" s="11" t="s">
        <v>66</v>
      </c>
      <c r="AB222" s="11" t="s">
        <v>583</v>
      </c>
      <c r="AC222" s="11" t="s">
        <v>261</v>
      </c>
      <c r="AD222" s="11" t="s">
        <v>261</v>
      </c>
      <c r="AE222" s="11" t="s">
        <v>551</v>
      </c>
      <c r="AF222" s="12" t="s">
        <v>261</v>
      </c>
      <c r="AG222" s="11" t="s">
        <v>261</v>
      </c>
    </row>
    <row r="223" spans="1:33" ht="30" x14ac:dyDescent="0.25">
      <c r="A223" s="11">
        <v>1</v>
      </c>
      <c r="B223" s="3" t="s">
        <v>261</v>
      </c>
      <c r="C223" s="11">
        <v>211722</v>
      </c>
      <c r="D223" s="11" t="s">
        <v>710</v>
      </c>
      <c r="E223" s="11" t="str">
        <f>MID(Table2[[#This Row],[تاريخ تاييد]],1,7)</f>
        <v>1404/01</v>
      </c>
      <c r="F223" s="11" t="str">
        <f>MID(Table2[[#This Row],[تاريخ تاييد]],6,2)</f>
        <v>01</v>
      </c>
      <c r="G223" s="11" t="str">
        <f>LEFT(Table2[[#This Row],[تاريخ تاييد]],4)</f>
        <v>1404</v>
      </c>
      <c r="H223" s="11" t="str">
        <f>VLOOKUP(Table2[[#This Row],[شماره فني]],Sheet7!A:C,3,0)</f>
        <v>جلو آمپر</v>
      </c>
      <c r="I223" s="11" t="str">
        <f>VLOOKUP(Table2[[#This Row],[شماره فني]],Sheet7!A:B,2,0)</f>
        <v>جلو آمپر تارا اتوماتیک</v>
      </c>
      <c r="J223" s="11" t="s">
        <v>716</v>
      </c>
      <c r="K223" s="11" t="s">
        <v>231</v>
      </c>
      <c r="L223" s="11" t="s">
        <v>22</v>
      </c>
      <c r="M223" s="11" t="s">
        <v>713</v>
      </c>
      <c r="N223" s="11" t="s">
        <v>261</v>
      </c>
      <c r="O223" s="11" t="s">
        <v>261</v>
      </c>
      <c r="P223" s="11" t="s">
        <v>261</v>
      </c>
      <c r="Q223" s="11" t="s">
        <v>261</v>
      </c>
      <c r="R223" s="11" t="s">
        <v>754</v>
      </c>
      <c r="S223" s="11" t="s">
        <v>261</v>
      </c>
      <c r="T223" s="11" t="s">
        <v>231</v>
      </c>
      <c r="U223" s="11" t="s">
        <v>797</v>
      </c>
      <c r="V223" s="11" t="s">
        <v>561</v>
      </c>
      <c r="W223" s="11">
        <v>1</v>
      </c>
      <c r="X223" s="11" t="s">
        <v>20</v>
      </c>
      <c r="Y223" s="11" t="s">
        <v>261</v>
      </c>
      <c r="Z223" s="11" t="s">
        <v>713</v>
      </c>
      <c r="AA223" s="11" t="s">
        <v>66</v>
      </c>
      <c r="AB223" s="11" t="s">
        <v>28</v>
      </c>
      <c r="AC223" s="11" t="s">
        <v>261</v>
      </c>
      <c r="AD223" s="11" t="s">
        <v>261</v>
      </c>
      <c r="AE223" s="11" t="s">
        <v>551</v>
      </c>
      <c r="AF223" s="12" t="s">
        <v>261</v>
      </c>
      <c r="AG223" s="11" t="s">
        <v>261</v>
      </c>
    </row>
    <row r="224" spans="1:33" ht="30" x14ac:dyDescent="0.25">
      <c r="A224" s="11">
        <v>1</v>
      </c>
      <c r="B224" s="3" t="s">
        <v>261</v>
      </c>
      <c r="C224" s="11">
        <v>211724</v>
      </c>
      <c r="D224" s="11" t="s">
        <v>711</v>
      </c>
      <c r="E224" s="11" t="str">
        <f>MID(Table2[[#This Row],[تاريخ تاييد]],1,7)</f>
        <v>1404/01</v>
      </c>
      <c r="F224" s="11" t="str">
        <f>MID(Table2[[#This Row],[تاريخ تاييد]],6,2)</f>
        <v>01</v>
      </c>
      <c r="G224" s="11" t="str">
        <f>LEFT(Table2[[#This Row],[تاريخ تاييد]],4)</f>
        <v>1404</v>
      </c>
      <c r="H224" s="11" t="str">
        <f>VLOOKUP(Table2[[#This Row],[شماره فني]],Sheet7!A:C,3,0)</f>
        <v>جلو آمپر</v>
      </c>
      <c r="I224" s="11" t="str">
        <f>VLOOKUP(Table2[[#This Row],[شماره فني]],Sheet7!A:B,2,0)</f>
        <v>جلو آمپر تارا اتوماتیک</v>
      </c>
      <c r="J224" s="11" t="s">
        <v>717</v>
      </c>
      <c r="K224" s="11" t="s">
        <v>724</v>
      </c>
      <c r="L224" s="11" t="s">
        <v>22</v>
      </c>
      <c r="M224" s="11" t="s">
        <v>713</v>
      </c>
      <c r="N224" s="11" t="s">
        <v>261</v>
      </c>
      <c r="O224" s="11" t="s">
        <v>261</v>
      </c>
      <c r="P224" s="11" t="s">
        <v>261</v>
      </c>
      <c r="Q224" s="11" t="s">
        <v>261</v>
      </c>
      <c r="R224" s="11" t="s">
        <v>1000</v>
      </c>
      <c r="S224" s="11" t="s">
        <v>1001</v>
      </c>
      <c r="T224" s="11" t="s">
        <v>819</v>
      </c>
      <c r="U224" s="11" t="s">
        <v>824</v>
      </c>
      <c r="V224" s="11" t="s">
        <v>756</v>
      </c>
      <c r="W224" s="11">
        <v>1</v>
      </c>
      <c r="X224" s="11" t="s">
        <v>20</v>
      </c>
      <c r="Y224" s="11" t="s">
        <v>261</v>
      </c>
      <c r="Z224" s="11" t="s">
        <v>713</v>
      </c>
      <c r="AA224" s="11" t="s">
        <v>66</v>
      </c>
      <c r="AB224" s="11" t="s">
        <v>26</v>
      </c>
      <c r="AC224" s="11" t="s">
        <v>261</v>
      </c>
      <c r="AD224" s="11" t="s">
        <v>757</v>
      </c>
      <c r="AE224" s="11" t="s">
        <v>551</v>
      </c>
      <c r="AF224" s="12" t="s">
        <v>966</v>
      </c>
      <c r="AG224" s="11" t="s">
        <v>261</v>
      </c>
    </row>
    <row r="225" spans="1:33" ht="45" x14ac:dyDescent="0.25">
      <c r="A225" s="11">
        <v>1</v>
      </c>
      <c r="B225" s="3" t="s">
        <v>261</v>
      </c>
      <c r="C225" s="11">
        <v>211759</v>
      </c>
      <c r="D225" s="11" t="s">
        <v>711</v>
      </c>
      <c r="E225" s="11" t="str">
        <f>MID(Table2[[#This Row],[تاريخ تاييد]],1,7)</f>
        <v>1404/01</v>
      </c>
      <c r="F225" s="11" t="str">
        <f>MID(Table2[[#This Row],[تاريخ تاييد]],6,2)</f>
        <v>01</v>
      </c>
      <c r="G225" s="11" t="str">
        <f>LEFT(Table2[[#This Row],[تاريخ تاييد]],4)</f>
        <v>1404</v>
      </c>
      <c r="H225" s="11" t="str">
        <f>VLOOKUP(Table2[[#This Row],[شماره فني]],Sheet7!A:C,3,0)</f>
        <v>کلید شیشه بالابر</v>
      </c>
      <c r="I225" s="11" t="str">
        <f>VLOOKUP(Table2[[#This Row],[شماره فني]],Sheet7!A:B,2,0)</f>
        <v>کلید شیشه بالابر عقب چپ سورن</v>
      </c>
      <c r="J225" s="11" t="s">
        <v>718</v>
      </c>
      <c r="K225" s="11" t="s">
        <v>723</v>
      </c>
      <c r="L225" s="11" t="s">
        <v>261</v>
      </c>
      <c r="M225" s="11" t="s">
        <v>261</v>
      </c>
      <c r="N225" s="11" t="s">
        <v>261</v>
      </c>
      <c r="O225" s="11" t="s">
        <v>261</v>
      </c>
      <c r="P225" s="11" t="s">
        <v>261</v>
      </c>
      <c r="Q225" s="11" t="s">
        <v>261</v>
      </c>
      <c r="R225" s="11" t="s">
        <v>961</v>
      </c>
      <c r="S225" s="11" t="s">
        <v>261</v>
      </c>
      <c r="T225" s="11" t="s">
        <v>261</v>
      </c>
      <c r="U225" s="11" t="s">
        <v>552</v>
      </c>
      <c r="V225" s="11" t="s">
        <v>784</v>
      </c>
      <c r="W225" s="11">
        <v>5</v>
      </c>
      <c r="X225" s="11" t="s">
        <v>287</v>
      </c>
      <c r="Y225" s="11" t="s">
        <v>261</v>
      </c>
      <c r="Z225" s="11" t="s">
        <v>261</v>
      </c>
      <c r="AA225" s="11" t="s">
        <v>261</v>
      </c>
      <c r="AB225" s="11" t="s">
        <v>583</v>
      </c>
      <c r="AC225" s="11" t="s">
        <v>261</v>
      </c>
      <c r="AD225" s="11" t="s">
        <v>261</v>
      </c>
      <c r="AE225" s="11" t="s">
        <v>551</v>
      </c>
      <c r="AF225" s="12" t="s">
        <v>261</v>
      </c>
      <c r="AG225" s="11" t="s">
        <v>261</v>
      </c>
    </row>
    <row r="226" spans="1:33" ht="30" x14ac:dyDescent="0.25">
      <c r="A226" s="11">
        <v>1</v>
      </c>
      <c r="B226" s="3" t="s">
        <v>261</v>
      </c>
      <c r="C226" s="11">
        <v>211830</v>
      </c>
      <c r="D226" s="11" t="s">
        <v>712</v>
      </c>
      <c r="E226" s="11" t="str">
        <f>MID(Table2[[#This Row],[تاريخ تاييد]],1,7)</f>
        <v>1404/01</v>
      </c>
      <c r="F226" s="11" t="str">
        <f>MID(Table2[[#This Row],[تاريخ تاييد]],6,2)</f>
        <v>01</v>
      </c>
      <c r="G226" s="11" t="str">
        <f>LEFT(Table2[[#This Row],[تاريخ تاييد]],4)</f>
        <v>1404</v>
      </c>
      <c r="H226" s="11" t="str">
        <f>VLOOKUP(Table2[[#This Row],[شماره فني]],Sheet7!A:C,3,0)</f>
        <v>جلو آمپر</v>
      </c>
      <c r="I226" s="11" t="str">
        <f>VLOOKUP(Table2[[#This Row],[شماره فني]],Sheet7!A:B,2,0)</f>
        <v>جلو آمپرSOREN TC 85 گانه</v>
      </c>
      <c r="J226" s="11" t="s">
        <v>719</v>
      </c>
      <c r="K226" s="11" t="s">
        <v>723</v>
      </c>
      <c r="L226" s="11" t="s">
        <v>261</v>
      </c>
      <c r="M226" s="11" t="s">
        <v>261</v>
      </c>
      <c r="N226" s="11" t="s">
        <v>261</v>
      </c>
      <c r="O226" s="11" t="s">
        <v>261</v>
      </c>
      <c r="P226" s="11" t="s">
        <v>261</v>
      </c>
      <c r="Q226" s="11" t="s">
        <v>261</v>
      </c>
      <c r="R226" s="11" t="s">
        <v>261</v>
      </c>
      <c r="S226" s="11" t="s">
        <v>261</v>
      </c>
      <c r="T226" s="11" t="s">
        <v>840</v>
      </c>
      <c r="U226" s="11" t="s">
        <v>257</v>
      </c>
      <c r="V226" s="11" t="s">
        <v>561</v>
      </c>
      <c r="W226" s="11">
        <v>1</v>
      </c>
      <c r="X226" s="11" t="s">
        <v>32</v>
      </c>
      <c r="Y226" s="11" t="s">
        <v>261</v>
      </c>
      <c r="Z226" s="11" t="s">
        <v>261</v>
      </c>
      <c r="AA226" s="11" t="s">
        <v>261</v>
      </c>
      <c r="AB226" s="11" t="s">
        <v>28</v>
      </c>
      <c r="AC226" s="11" t="s">
        <v>261</v>
      </c>
      <c r="AD226" s="11" t="s">
        <v>261</v>
      </c>
      <c r="AE226" s="11" t="s">
        <v>551</v>
      </c>
      <c r="AF226" s="12" t="s">
        <v>261</v>
      </c>
      <c r="AG226" s="11" t="s">
        <v>261</v>
      </c>
    </row>
    <row r="227" spans="1:33" ht="90" x14ac:dyDescent="0.25">
      <c r="A227" s="11">
        <v>1</v>
      </c>
      <c r="B227" s="3" t="s">
        <v>261</v>
      </c>
      <c r="C227" s="11">
        <v>212020</v>
      </c>
      <c r="D227" s="11" t="s">
        <v>713</v>
      </c>
      <c r="E227" s="11" t="str">
        <f>MID(Table2[[#This Row],[تاريخ تاييد]],1,7)</f>
        <v>1404/02</v>
      </c>
      <c r="F227" s="11" t="str">
        <f>MID(Table2[[#This Row],[تاريخ تاييد]],6,2)</f>
        <v>02</v>
      </c>
      <c r="G227" s="11" t="str">
        <f>LEFT(Table2[[#This Row],[تاريخ تاييد]],4)</f>
        <v>1404</v>
      </c>
      <c r="H227" s="11" t="str">
        <f>VLOOKUP(Table2[[#This Row],[شماره فني]],Sheet7!A:C,3,0)</f>
        <v>NOD</v>
      </c>
      <c r="I227" s="11" t="str">
        <f>VLOOKUP(Table2[[#This Row],[شماره فني]],Sheet7!A:B,2,0)</f>
        <v>NBCM 207</v>
      </c>
      <c r="J227" s="11" t="s">
        <v>720</v>
      </c>
      <c r="K227" s="11" t="s">
        <v>334</v>
      </c>
      <c r="L227" s="11" t="s">
        <v>23</v>
      </c>
      <c r="M227" s="11" t="s">
        <v>853</v>
      </c>
      <c r="N227" s="11" t="s">
        <v>23</v>
      </c>
      <c r="O227" s="11" t="s">
        <v>854</v>
      </c>
      <c r="P227" s="11" t="s">
        <v>261</v>
      </c>
      <c r="Q227" s="11" t="s">
        <v>261</v>
      </c>
      <c r="R227" s="11" t="s">
        <v>855</v>
      </c>
      <c r="S227" s="11" t="s">
        <v>967</v>
      </c>
      <c r="T227" s="11" t="s">
        <v>855</v>
      </c>
      <c r="U227" s="11" t="s">
        <v>856</v>
      </c>
      <c r="V227" s="11" t="s">
        <v>857</v>
      </c>
      <c r="W227" s="11">
        <v>1</v>
      </c>
      <c r="X227" s="11" t="s">
        <v>19</v>
      </c>
      <c r="Y227" s="11" t="s">
        <v>261</v>
      </c>
      <c r="Z227" s="11" t="s">
        <v>853</v>
      </c>
      <c r="AA227" s="11" t="s">
        <v>66</v>
      </c>
      <c r="AB227" s="11" t="s">
        <v>583</v>
      </c>
      <c r="AC227" s="11" t="s">
        <v>261</v>
      </c>
      <c r="AD227" s="11" t="s">
        <v>261</v>
      </c>
      <c r="AE227" s="11" t="s">
        <v>551</v>
      </c>
      <c r="AF227" s="12" t="s">
        <v>967</v>
      </c>
      <c r="AG227" s="11" t="s">
        <v>261</v>
      </c>
    </row>
    <row r="228" spans="1:33" ht="30" x14ac:dyDescent="0.25">
      <c r="A228" s="11">
        <v>1</v>
      </c>
      <c r="B228" s="3" t="s">
        <v>261</v>
      </c>
      <c r="C228" s="11">
        <v>212028</v>
      </c>
      <c r="D228" s="11" t="s">
        <v>713</v>
      </c>
      <c r="E228" s="11" t="str">
        <f>MID(Table2[[#This Row],[تاريخ تاييد]],1,7)</f>
        <v>1404/02</v>
      </c>
      <c r="F228" s="11" t="str">
        <f>MID(Table2[[#This Row],[تاريخ تاييد]],6,2)</f>
        <v>02</v>
      </c>
      <c r="G228" s="11" t="str">
        <f>LEFT(Table2[[#This Row],[تاريخ تاييد]],4)</f>
        <v>1404</v>
      </c>
      <c r="H228" s="11" t="str">
        <f>VLOOKUP(Table2[[#This Row],[شماره فني]],Sheet7!A:C,3,0)</f>
        <v>NOD</v>
      </c>
      <c r="I228" s="11" t="str">
        <f>VLOOKUP(Table2[[#This Row],[شماره فني]],Sheet7!A:B,2,0)</f>
        <v>NBCM TARA SAL</v>
      </c>
      <c r="J228" s="11" t="s">
        <v>721</v>
      </c>
      <c r="K228" s="11" t="s">
        <v>334</v>
      </c>
      <c r="L228" s="11" t="s">
        <v>23</v>
      </c>
      <c r="M228" s="11" t="s">
        <v>877</v>
      </c>
      <c r="N228" s="11" t="s">
        <v>261</v>
      </c>
      <c r="O228" s="11" t="s">
        <v>261</v>
      </c>
      <c r="P228" s="11" t="s">
        <v>261</v>
      </c>
      <c r="Q228" s="11" t="s">
        <v>261</v>
      </c>
      <c r="R228" s="11" t="s">
        <v>953</v>
      </c>
      <c r="S228" s="11" t="s">
        <v>954</v>
      </c>
      <c r="T228" s="11" t="s">
        <v>818</v>
      </c>
      <c r="U228" s="11" t="s">
        <v>824</v>
      </c>
      <c r="V228" s="11" t="s">
        <v>968</v>
      </c>
      <c r="W228" s="11">
        <v>1</v>
      </c>
      <c r="X228" s="11" t="s">
        <v>95</v>
      </c>
      <c r="Y228" s="11" t="s">
        <v>261</v>
      </c>
      <c r="Z228" s="11" t="s">
        <v>877</v>
      </c>
      <c r="AA228" s="11" t="s">
        <v>66</v>
      </c>
      <c r="AB228" s="11" t="s">
        <v>583</v>
      </c>
      <c r="AC228" s="11" t="s">
        <v>261</v>
      </c>
      <c r="AD228" s="11" t="s">
        <v>261</v>
      </c>
      <c r="AE228" s="11" t="s">
        <v>551</v>
      </c>
      <c r="AF228" s="12" t="s">
        <v>969</v>
      </c>
      <c r="AG228" s="11" t="s">
        <v>261</v>
      </c>
    </row>
    <row r="229" spans="1:33" ht="30" x14ac:dyDescent="0.25">
      <c r="A229" s="11">
        <v>1</v>
      </c>
      <c r="B229" s="3" t="s">
        <v>261</v>
      </c>
      <c r="C229" s="11">
        <v>212132</v>
      </c>
      <c r="D229" s="11" t="s">
        <v>714</v>
      </c>
      <c r="E229" s="11" t="str">
        <f>MID(Table2[[#This Row],[تاريخ تاييد]],1,7)</f>
        <v>1404/02</v>
      </c>
      <c r="F229" s="11" t="str">
        <f>MID(Table2[[#This Row],[تاريخ تاييد]],6,2)</f>
        <v>02</v>
      </c>
      <c r="G229" s="11" t="str">
        <f>LEFT(Table2[[#This Row],[تاريخ تاييد]],4)</f>
        <v>1404</v>
      </c>
      <c r="H229" s="11" t="str">
        <f>VLOOKUP(Table2[[#This Row],[شماره فني]],Sheet7!A:C,3,0)</f>
        <v>جلو آمپر</v>
      </c>
      <c r="I229" s="11" t="str">
        <f>VLOOKUP(Table2[[#This Row],[شماره فني]],Sheet7!A:B,2,0)</f>
        <v>جلو آمپر دنا ST</v>
      </c>
      <c r="J229" s="11" t="s">
        <v>722</v>
      </c>
      <c r="K229" s="11" t="s">
        <v>1121</v>
      </c>
      <c r="L229" s="11" t="s">
        <v>261</v>
      </c>
      <c r="M229" s="11" t="s">
        <v>261</v>
      </c>
      <c r="N229" s="11" t="s">
        <v>261</v>
      </c>
      <c r="O229" s="11" t="s">
        <v>261</v>
      </c>
      <c r="P229" s="11" t="s">
        <v>261</v>
      </c>
      <c r="Q229" s="11" t="s">
        <v>261</v>
      </c>
      <c r="R229" s="11" t="s">
        <v>68</v>
      </c>
      <c r="S229" s="11" t="s">
        <v>868</v>
      </c>
      <c r="T229" s="11" t="s">
        <v>985</v>
      </c>
      <c r="U229" s="11" t="s">
        <v>869</v>
      </c>
      <c r="V229" s="11" t="s">
        <v>962</v>
      </c>
      <c r="W229" s="11">
        <v>48</v>
      </c>
      <c r="X229" s="11" t="s">
        <v>96</v>
      </c>
      <c r="Y229" s="11" t="s">
        <v>261</v>
      </c>
      <c r="Z229" s="11" t="s">
        <v>261</v>
      </c>
      <c r="AA229" s="11" t="s">
        <v>261</v>
      </c>
      <c r="AB229" s="11" t="s">
        <v>26</v>
      </c>
      <c r="AC229" s="11" t="s">
        <v>261</v>
      </c>
      <c r="AD229" s="11" t="s">
        <v>226</v>
      </c>
      <c r="AE229" s="11" t="s">
        <v>551</v>
      </c>
      <c r="AF229" s="12" t="s">
        <v>970</v>
      </c>
      <c r="AG229" s="11" t="s">
        <v>261</v>
      </c>
    </row>
    <row r="230" spans="1:33" ht="30" x14ac:dyDescent="0.25">
      <c r="A230" s="11">
        <v>1</v>
      </c>
      <c r="B230" s="3" t="s">
        <v>261</v>
      </c>
      <c r="C230" s="11">
        <v>212345</v>
      </c>
      <c r="D230" s="11" t="s">
        <v>845</v>
      </c>
      <c r="E230" s="11" t="str">
        <f>MID(Table2[[#This Row],[تاريخ تاييد]],1,7)</f>
        <v>1404/02</v>
      </c>
      <c r="F230" s="11" t="str">
        <f>MID(Table2[[#This Row],[تاريخ تاييد]],6,2)</f>
        <v>02</v>
      </c>
      <c r="G230" s="11" t="str">
        <f>LEFT(Table2[[#This Row],[تاريخ تاييد]],4)</f>
        <v>1404</v>
      </c>
      <c r="H230" s="11" t="str">
        <f>VLOOKUP(Table2[[#This Row],[شماره فني]],Sheet7!A:C,3,0)</f>
        <v>جلو آمپر</v>
      </c>
      <c r="I230" s="11" t="str">
        <f>VLOOKUP(Table2[[#This Row],[شماره فني]],Sheet7!A:B,2,0)</f>
        <v>جلو آمپر دنا اتوماتیک SBR</v>
      </c>
      <c r="J230" s="11" t="s">
        <v>848</v>
      </c>
      <c r="K230" s="11" t="s">
        <v>232</v>
      </c>
      <c r="L230" s="11" t="s">
        <v>22</v>
      </c>
      <c r="M230" s="11" t="s">
        <v>853</v>
      </c>
      <c r="N230" s="11" t="s">
        <v>261</v>
      </c>
      <c r="O230" s="11" t="s">
        <v>261</v>
      </c>
      <c r="P230" s="11" t="s">
        <v>261</v>
      </c>
      <c r="Q230" s="11" t="s">
        <v>261</v>
      </c>
      <c r="R230" s="11" t="s">
        <v>783</v>
      </c>
      <c r="S230" s="11" t="s">
        <v>867</v>
      </c>
      <c r="T230" s="11" t="s">
        <v>822</v>
      </c>
      <c r="U230" s="11" t="s">
        <v>797</v>
      </c>
      <c r="V230" s="11" t="s">
        <v>561</v>
      </c>
      <c r="W230" s="11">
        <v>1</v>
      </c>
      <c r="X230" s="11" t="s">
        <v>843</v>
      </c>
      <c r="Y230" s="11" t="s">
        <v>261</v>
      </c>
      <c r="Z230" s="11" t="s">
        <v>853</v>
      </c>
      <c r="AA230" s="11" t="s">
        <v>66</v>
      </c>
      <c r="AB230" s="11" t="s">
        <v>28</v>
      </c>
      <c r="AC230" s="11" t="s">
        <v>261</v>
      </c>
      <c r="AD230" s="11" t="s">
        <v>261</v>
      </c>
      <c r="AE230" s="11" t="s">
        <v>551</v>
      </c>
      <c r="AF230" s="12" t="s">
        <v>261</v>
      </c>
      <c r="AG230" s="11" t="s">
        <v>261</v>
      </c>
    </row>
    <row r="231" spans="1:33" ht="45" x14ac:dyDescent="0.25">
      <c r="A231" s="11">
        <v>1</v>
      </c>
      <c r="B231" s="3" t="s">
        <v>261</v>
      </c>
      <c r="C231" s="11">
        <v>212454</v>
      </c>
      <c r="D231" s="11" t="s">
        <v>846</v>
      </c>
      <c r="E231" s="11" t="str">
        <f>MID(Table2[[#This Row],[تاريخ تاييد]],1,7)</f>
        <v>1404/02</v>
      </c>
      <c r="F231" s="11" t="str">
        <f>MID(Table2[[#This Row],[تاريخ تاييد]],6,2)</f>
        <v>02</v>
      </c>
      <c r="G231" s="11" t="str">
        <f>LEFT(Table2[[#This Row],[تاريخ تاييد]],4)</f>
        <v>1404</v>
      </c>
      <c r="H231" s="11" t="str">
        <f>VLOOKUP(Table2[[#This Row],[شماره فني]],Sheet7!A:C,3,0)</f>
        <v>جلو آمپر</v>
      </c>
      <c r="I231" s="11" t="str">
        <f>VLOOKUP(Table2[[#This Row],[شماره فني]],Sheet7!A:B,2,0)</f>
        <v>جلو آمپر207  معمولی85 گانه</v>
      </c>
      <c r="J231" s="11" t="s">
        <v>849</v>
      </c>
      <c r="K231" s="11" t="s">
        <v>851</v>
      </c>
      <c r="L231" s="11" t="s">
        <v>261</v>
      </c>
      <c r="M231" s="11" t="s">
        <v>261</v>
      </c>
      <c r="N231" s="11" t="s">
        <v>261</v>
      </c>
      <c r="O231" s="11" t="s">
        <v>261</v>
      </c>
      <c r="P231" s="11" t="s">
        <v>261</v>
      </c>
      <c r="Q231" s="11" t="s">
        <v>261</v>
      </c>
      <c r="R231" s="11" t="s">
        <v>961</v>
      </c>
      <c r="S231" s="11" t="s">
        <v>261</v>
      </c>
      <c r="T231" s="11" t="s">
        <v>261</v>
      </c>
      <c r="U231" s="11" t="s">
        <v>552</v>
      </c>
      <c r="V231" s="11" t="s">
        <v>784</v>
      </c>
      <c r="W231" s="11">
        <v>1</v>
      </c>
      <c r="X231" s="11" t="s">
        <v>30</v>
      </c>
      <c r="Y231" s="11" t="s">
        <v>261</v>
      </c>
      <c r="Z231" s="11" t="s">
        <v>261</v>
      </c>
      <c r="AA231" s="11" t="s">
        <v>261</v>
      </c>
      <c r="AB231" s="11" t="s">
        <v>583</v>
      </c>
      <c r="AC231" s="11" t="s">
        <v>261</v>
      </c>
      <c r="AD231" s="11" t="s">
        <v>261</v>
      </c>
      <c r="AE231" s="11" t="s">
        <v>551</v>
      </c>
      <c r="AF231" s="12" t="s">
        <v>965</v>
      </c>
      <c r="AG231" s="11" t="s">
        <v>261</v>
      </c>
    </row>
    <row r="232" spans="1:33" ht="30" x14ac:dyDescent="0.25">
      <c r="A232" s="11">
        <v>1</v>
      </c>
      <c r="B232" s="3" t="s">
        <v>261</v>
      </c>
      <c r="C232" s="11">
        <v>212975</v>
      </c>
      <c r="D232" s="11" t="s">
        <v>847</v>
      </c>
      <c r="E232" s="11" t="str">
        <f>MID(Table2[[#This Row],[تاريخ تاييد]],1,7)</f>
        <v>1404/02</v>
      </c>
      <c r="F232" s="11" t="str">
        <f>MID(Table2[[#This Row],[تاريخ تاييد]],6,2)</f>
        <v>02</v>
      </c>
      <c r="G232" s="11" t="str">
        <f>LEFT(Table2[[#This Row],[تاريخ تاييد]],4)</f>
        <v>1404</v>
      </c>
      <c r="H232" s="11" t="str">
        <f>VLOOKUP(Table2[[#This Row],[شماره فني]],Sheet7!A:C,3,0)</f>
        <v>NOD</v>
      </c>
      <c r="I232" s="11" t="str">
        <f>VLOOKUP(Table2[[#This Row],[شماره فني]],Sheet7!A:B,2,0)</f>
        <v>NBCM 207</v>
      </c>
      <c r="J232" s="11" t="s">
        <v>850</v>
      </c>
      <c r="K232" s="11" t="s">
        <v>852</v>
      </c>
      <c r="L232" s="11" t="s">
        <v>22</v>
      </c>
      <c r="M232" s="11" t="s">
        <v>878</v>
      </c>
      <c r="N232" s="11" t="s">
        <v>261</v>
      </c>
      <c r="O232" s="11" t="s">
        <v>261</v>
      </c>
      <c r="P232" s="11" t="s">
        <v>261</v>
      </c>
      <c r="Q232" s="11" t="s">
        <v>261</v>
      </c>
      <c r="R232" s="11" t="s">
        <v>971</v>
      </c>
      <c r="S232" s="11" t="s">
        <v>971</v>
      </c>
      <c r="T232" s="11" t="s">
        <v>261</v>
      </c>
      <c r="U232" s="11" t="s">
        <v>971</v>
      </c>
      <c r="V232" s="11" t="s">
        <v>971</v>
      </c>
      <c r="W232" s="11">
        <v>4</v>
      </c>
      <c r="X232" s="11" t="s">
        <v>19</v>
      </c>
      <c r="Y232" s="11" t="s">
        <v>261</v>
      </c>
      <c r="Z232" s="11" t="s">
        <v>878</v>
      </c>
      <c r="AA232" s="11" t="s">
        <v>66</v>
      </c>
      <c r="AB232" s="11" t="s">
        <v>998</v>
      </c>
      <c r="AC232" s="11" t="s">
        <v>261</v>
      </c>
      <c r="AD232" s="11" t="s">
        <v>261</v>
      </c>
      <c r="AE232" s="11" t="s">
        <v>551</v>
      </c>
      <c r="AF232" s="12" t="s">
        <v>972</v>
      </c>
      <c r="AG232" s="11" t="s">
        <v>261</v>
      </c>
    </row>
    <row r="233" spans="1:33" ht="45" x14ac:dyDescent="0.25">
      <c r="A233" s="11">
        <v>1</v>
      </c>
      <c r="B233" s="3" t="s">
        <v>261</v>
      </c>
      <c r="C233" s="11">
        <v>213316</v>
      </c>
      <c r="D233" s="11" t="s">
        <v>858</v>
      </c>
      <c r="E233" s="11" t="str">
        <f>MID(Table2[[#This Row],[تاريخ تاييد]],1,7)</f>
        <v>1404/02</v>
      </c>
      <c r="F233" s="11" t="str">
        <f>MID(Table2[[#This Row],[تاريخ تاييد]],6,2)</f>
        <v>02</v>
      </c>
      <c r="G233" s="11" t="str">
        <f>LEFT(Table2[[#This Row],[تاريخ تاييد]],4)</f>
        <v>1404</v>
      </c>
      <c r="H233" s="11" t="str">
        <f>VLOOKUP(Table2[[#This Row],[شماره فني]],Sheet7!A:C,3,0)</f>
        <v>کلید شیشه بالابر</v>
      </c>
      <c r="I233" s="11" t="str">
        <f>VLOOKUP(Table2[[#This Row],[شماره فني]],Sheet7!A:B,2,0)</f>
        <v>کلید شیشه بالابرعقب دنا</v>
      </c>
      <c r="J233" s="11" t="s">
        <v>861</v>
      </c>
      <c r="K233" s="11" t="s">
        <v>865</v>
      </c>
      <c r="L233" s="11" t="s">
        <v>261</v>
      </c>
      <c r="M233" s="11" t="s">
        <v>261</v>
      </c>
      <c r="N233" s="11" t="s">
        <v>261</v>
      </c>
      <c r="O233" s="11" t="s">
        <v>261</v>
      </c>
      <c r="P233" s="11" t="s">
        <v>261</v>
      </c>
      <c r="Q233" s="11" t="s">
        <v>261</v>
      </c>
      <c r="R233" s="11" t="s">
        <v>961</v>
      </c>
      <c r="S233" s="11" t="s">
        <v>261</v>
      </c>
      <c r="T233" s="11" t="s">
        <v>261</v>
      </c>
      <c r="U233" s="11" t="s">
        <v>552</v>
      </c>
      <c r="V233" s="11" t="s">
        <v>784</v>
      </c>
      <c r="W233" s="11">
        <v>1</v>
      </c>
      <c r="X233" s="11" t="s">
        <v>664</v>
      </c>
      <c r="Y233" s="11" t="s">
        <v>261</v>
      </c>
      <c r="Z233" s="11" t="s">
        <v>261</v>
      </c>
      <c r="AA233" s="11" t="s">
        <v>261</v>
      </c>
      <c r="AB233" s="11" t="s">
        <v>583</v>
      </c>
      <c r="AC233" s="11" t="s">
        <v>261</v>
      </c>
      <c r="AD233" s="11" t="s">
        <v>261</v>
      </c>
      <c r="AE233" s="11" t="s">
        <v>551</v>
      </c>
      <c r="AF233" s="12" t="s">
        <v>261</v>
      </c>
      <c r="AG233" s="11" t="s">
        <v>261</v>
      </c>
    </row>
    <row r="234" spans="1:33" ht="45" x14ac:dyDescent="0.25">
      <c r="A234" s="11">
        <v>1</v>
      </c>
      <c r="B234" s="3" t="s">
        <v>261</v>
      </c>
      <c r="C234" s="11">
        <v>213358</v>
      </c>
      <c r="D234" s="11" t="s">
        <v>859</v>
      </c>
      <c r="E234" s="11" t="str">
        <f>MID(Table2[[#This Row],[تاريخ تاييد]],1,7)</f>
        <v>1404/02</v>
      </c>
      <c r="F234" s="11" t="str">
        <f>MID(Table2[[#This Row],[تاريخ تاييد]],6,2)</f>
        <v>02</v>
      </c>
      <c r="G234" s="11" t="str">
        <f>LEFT(Table2[[#This Row],[تاريخ تاييد]],4)</f>
        <v>1404</v>
      </c>
      <c r="H234" s="11" t="str">
        <f>VLOOKUP(Table2[[#This Row],[شماره فني]],Sheet7!A:C,3,0)</f>
        <v>جلو آمپر</v>
      </c>
      <c r="I234" s="11" t="str">
        <f>VLOOKUP(Table2[[#This Row],[شماره فني]],Sheet7!A:B,2,0)</f>
        <v>جلو آمپر207  معمولی85 گانه</v>
      </c>
      <c r="J234" s="11" t="s">
        <v>862</v>
      </c>
      <c r="K234" s="11" t="s">
        <v>851</v>
      </c>
      <c r="L234" s="11" t="s">
        <v>261</v>
      </c>
      <c r="M234" s="11" t="s">
        <v>261</v>
      </c>
      <c r="N234" s="11" t="s">
        <v>261</v>
      </c>
      <c r="O234" s="11" t="s">
        <v>261</v>
      </c>
      <c r="P234" s="11" t="s">
        <v>261</v>
      </c>
      <c r="Q234" s="11" t="s">
        <v>261</v>
      </c>
      <c r="R234" s="11" t="s">
        <v>961</v>
      </c>
      <c r="S234" s="11" t="s">
        <v>261</v>
      </c>
      <c r="T234" s="11" t="s">
        <v>261</v>
      </c>
      <c r="U234" s="11" t="s">
        <v>552</v>
      </c>
      <c r="V234" s="11" t="s">
        <v>784</v>
      </c>
      <c r="W234" s="11">
        <v>2</v>
      </c>
      <c r="X234" s="11" t="s">
        <v>30</v>
      </c>
      <c r="Y234" s="11" t="s">
        <v>261</v>
      </c>
      <c r="Z234" s="11" t="s">
        <v>261</v>
      </c>
      <c r="AA234" s="11" t="s">
        <v>261</v>
      </c>
      <c r="AB234" s="11" t="s">
        <v>583</v>
      </c>
      <c r="AC234" s="11" t="s">
        <v>261</v>
      </c>
      <c r="AD234" s="11" t="s">
        <v>261</v>
      </c>
      <c r="AE234" s="11" t="s">
        <v>551</v>
      </c>
      <c r="AF234" s="12" t="s">
        <v>965</v>
      </c>
      <c r="AG234" s="11" t="s">
        <v>261</v>
      </c>
    </row>
    <row r="235" spans="1:33" ht="30" x14ac:dyDescent="0.25">
      <c r="A235" s="11">
        <v>1</v>
      </c>
      <c r="B235" s="3" t="s">
        <v>261</v>
      </c>
      <c r="C235" s="11">
        <v>213370</v>
      </c>
      <c r="D235" s="11" t="s">
        <v>860</v>
      </c>
      <c r="E235" s="11" t="str">
        <f>MID(Table2[[#This Row],[تاريخ تاييد]],1,7)</f>
        <v>1404/02</v>
      </c>
      <c r="F235" s="11" t="str">
        <f>MID(Table2[[#This Row],[تاريخ تاييد]],6,2)</f>
        <v>02</v>
      </c>
      <c r="G235" s="11" t="str">
        <f>LEFT(Table2[[#This Row],[تاريخ تاييد]],4)</f>
        <v>1404</v>
      </c>
      <c r="H235" s="11" t="str">
        <f>VLOOKUP(Table2[[#This Row],[شماره فني]],Sheet7!A:C,3,0)</f>
        <v>NOD</v>
      </c>
      <c r="I235" s="11" t="str">
        <f>VLOOKUP(Table2[[#This Row],[شماره فني]],Sheet7!A:B,2,0)</f>
        <v>NBCM 207</v>
      </c>
      <c r="J235" s="11" t="s">
        <v>863</v>
      </c>
      <c r="K235" s="11" t="s">
        <v>230</v>
      </c>
      <c r="L235" s="11" t="s">
        <v>22</v>
      </c>
      <c r="M235" s="11" t="s">
        <v>881</v>
      </c>
      <c r="N235" s="11" t="s">
        <v>261</v>
      </c>
      <c r="O235" s="11" t="s">
        <v>261</v>
      </c>
      <c r="P235" s="11" t="s">
        <v>261</v>
      </c>
      <c r="Q235" s="11" t="s">
        <v>261</v>
      </c>
      <c r="R235" s="11" t="s">
        <v>879</v>
      </c>
      <c r="S235" s="11" t="s">
        <v>880</v>
      </c>
      <c r="T235" s="11" t="s">
        <v>527</v>
      </c>
      <c r="U235" s="11" t="s">
        <v>879</v>
      </c>
      <c r="V235" s="11" t="s">
        <v>561</v>
      </c>
      <c r="W235" s="11">
        <v>4</v>
      </c>
      <c r="X235" s="11" t="s">
        <v>19</v>
      </c>
      <c r="Y235" s="11" t="s">
        <v>261</v>
      </c>
      <c r="Z235" s="11" t="s">
        <v>881</v>
      </c>
      <c r="AA235" s="11" t="s">
        <v>66</v>
      </c>
      <c r="AB235" s="11" t="s">
        <v>27</v>
      </c>
      <c r="AC235" s="11" t="s">
        <v>999</v>
      </c>
      <c r="AD235" s="11" t="s">
        <v>261</v>
      </c>
      <c r="AE235" s="11" t="s">
        <v>551</v>
      </c>
      <c r="AF235" s="12" t="s">
        <v>973</v>
      </c>
      <c r="AG235" s="11" t="s">
        <v>261</v>
      </c>
    </row>
    <row r="236" spans="1:33" ht="45" x14ac:dyDescent="0.25">
      <c r="A236" s="11">
        <v>1</v>
      </c>
      <c r="B236" s="3" t="s">
        <v>261</v>
      </c>
      <c r="C236" s="11">
        <v>213630</v>
      </c>
      <c r="D236" s="11" t="s">
        <v>854</v>
      </c>
      <c r="E236" s="11" t="str">
        <f>MID(Table2[[#This Row],[تاريخ تاييد]],1,7)</f>
        <v>1404/02</v>
      </c>
      <c r="F236" s="11" t="str">
        <f>MID(Table2[[#This Row],[تاريخ تاييد]],6,2)</f>
        <v>02</v>
      </c>
      <c r="G236" s="11" t="str">
        <f>LEFT(Table2[[#This Row],[تاريخ تاييد]],4)</f>
        <v>1404</v>
      </c>
      <c r="H236" s="11" t="str">
        <f>VLOOKUP(Table2[[#This Row],[شماره فني]],Sheet7!A:C,3,0)</f>
        <v>جلو آمپر</v>
      </c>
      <c r="I236" s="11" t="str">
        <f>VLOOKUP(Table2[[#This Row],[شماره فني]],Sheet7!A:B,2,0)</f>
        <v>جلو آمپر تارا اتوماتیک</v>
      </c>
      <c r="J236" s="11" t="s">
        <v>864</v>
      </c>
      <c r="K236" s="11" t="s">
        <v>231</v>
      </c>
      <c r="L236" s="11" t="s">
        <v>261</v>
      </c>
      <c r="M236" s="11" t="s">
        <v>261</v>
      </c>
      <c r="N236" s="11" t="s">
        <v>261</v>
      </c>
      <c r="O236" s="11" t="s">
        <v>261</v>
      </c>
      <c r="P236" s="11" t="s">
        <v>261</v>
      </c>
      <c r="Q236" s="11" t="s">
        <v>261</v>
      </c>
      <c r="R236" s="11" t="s">
        <v>961</v>
      </c>
      <c r="S236" s="11" t="s">
        <v>261</v>
      </c>
      <c r="T236" s="11" t="s">
        <v>261</v>
      </c>
      <c r="U236" s="11" t="s">
        <v>552</v>
      </c>
      <c r="V236" s="11" t="s">
        <v>784</v>
      </c>
      <c r="W236" s="11">
        <v>1</v>
      </c>
      <c r="X236" s="11" t="s">
        <v>20</v>
      </c>
      <c r="Y236" s="11" t="s">
        <v>261</v>
      </c>
      <c r="Z236" s="11" t="s">
        <v>261</v>
      </c>
      <c r="AA236" s="11" t="s">
        <v>261</v>
      </c>
      <c r="AB236" s="11" t="s">
        <v>583</v>
      </c>
      <c r="AC236" s="11" t="s">
        <v>261</v>
      </c>
      <c r="AD236" s="11" t="s">
        <v>261</v>
      </c>
      <c r="AE236" s="11" t="s">
        <v>551</v>
      </c>
      <c r="AF236" s="12" t="s">
        <v>261</v>
      </c>
      <c r="AG236" s="11" t="s">
        <v>261</v>
      </c>
    </row>
    <row r="237" spans="1:33" ht="45" x14ac:dyDescent="0.25">
      <c r="A237" s="11">
        <v>1</v>
      </c>
      <c r="B237" s="3" t="s">
        <v>261</v>
      </c>
      <c r="C237" s="11">
        <v>213704</v>
      </c>
      <c r="D237" s="11" t="s">
        <v>870</v>
      </c>
      <c r="E237" s="11" t="str">
        <f>MID(Table2[[#This Row],[تاريخ تاييد]],1,7)</f>
        <v>1404/03</v>
      </c>
      <c r="F237" s="11" t="str">
        <f>MID(Table2[[#This Row],[تاريخ تاييد]],6,2)</f>
        <v>03</v>
      </c>
      <c r="G237" s="11" t="str">
        <f>LEFT(Table2[[#This Row],[تاريخ تاييد]],4)</f>
        <v>1404</v>
      </c>
      <c r="H237" s="11" t="str">
        <f>VLOOKUP(Table2[[#This Row],[شماره فني]],Sheet7!A:C,3,0)</f>
        <v>جلو آمپر</v>
      </c>
      <c r="I237" s="11" t="str">
        <f>VLOOKUP(Table2[[#This Row],[شماره فني]],Sheet7!A:B,2,0)</f>
        <v>جلو آمپر تارا اتوماتیک</v>
      </c>
      <c r="J237" s="11" t="s">
        <v>873</v>
      </c>
      <c r="K237" s="11" t="s">
        <v>724</v>
      </c>
      <c r="L237" s="11" t="s">
        <v>261</v>
      </c>
      <c r="M237" s="11" t="s">
        <v>261</v>
      </c>
      <c r="N237" s="11" t="s">
        <v>261</v>
      </c>
      <c r="O237" s="11" t="s">
        <v>261</v>
      </c>
      <c r="P237" s="11" t="s">
        <v>261</v>
      </c>
      <c r="Q237" s="11" t="s">
        <v>261</v>
      </c>
      <c r="R237" s="11" t="s">
        <v>961</v>
      </c>
      <c r="S237" s="11" t="s">
        <v>261</v>
      </c>
      <c r="T237" s="11" t="s">
        <v>261</v>
      </c>
      <c r="U237" s="11" t="s">
        <v>552</v>
      </c>
      <c r="V237" s="11" t="s">
        <v>784</v>
      </c>
      <c r="W237" s="11">
        <v>1</v>
      </c>
      <c r="X237" s="11" t="s">
        <v>20</v>
      </c>
      <c r="Y237" s="11" t="s">
        <v>261</v>
      </c>
      <c r="Z237" s="11" t="s">
        <v>261</v>
      </c>
      <c r="AA237" s="11" t="s">
        <v>261</v>
      </c>
      <c r="AB237" s="11" t="s">
        <v>583</v>
      </c>
      <c r="AC237" s="11" t="s">
        <v>261</v>
      </c>
      <c r="AD237" s="11" t="s">
        <v>261</v>
      </c>
      <c r="AE237" s="11" t="s">
        <v>551</v>
      </c>
      <c r="AF237" s="12" t="s">
        <v>261</v>
      </c>
      <c r="AG237" s="11" t="s">
        <v>261</v>
      </c>
    </row>
    <row r="238" spans="1:33" ht="45" x14ac:dyDescent="0.25">
      <c r="A238" s="11">
        <v>1</v>
      </c>
      <c r="B238" s="3" t="s">
        <v>261</v>
      </c>
      <c r="C238" s="11">
        <v>213898</v>
      </c>
      <c r="D238" s="11" t="s">
        <v>870</v>
      </c>
      <c r="E238" s="11" t="str">
        <f>MID(Table2[[#This Row],[تاريخ تاييد]],1,7)</f>
        <v>1404/03</v>
      </c>
      <c r="F238" s="11" t="str">
        <f>MID(Table2[[#This Row],[تاريخ تاييد]],6,2)</f>
        <v>03</v>
      </c>
      <c r="G238" s="11" t="str">
        <f>LEFT(Table2[[#This Row],[تاريخ تاييد]],4)</f>
        <v>1404</v>
      </c>
      <c r="H238" s="11" t="str">
        <f>VLOOKUP(Table2[[#This Row],[شماره فني]],Sheet7!A:C,3,0)</f>
        <v>NOD</v>
      </c>
      <c r="I238" s="11" t="str">
        <f>VLOOKUP(Table2[[#This Row],[شماره فني]],Sheet7!A:B,2,0)</f>
        <v>NBCM DENA</v>
      </c>
      <c r="J238" s="11" t="s">
        <v>874</v>
      </c>
      <c r="K238" s="11" t="s">
        <v>230</v>
      </c>
      <c r="L238" s="11" t="s">
        <v>261</v>
      </c>
      <c r="M238" s="11" t="s">
        <v>261</v>
      </c>
      <c r="N238" s="11" t="s">
        <v>261</v>
      </c>
      <c r="O238" s="11" t="s">
        <v>261</v>
      </c>
      <c r="P238" s="11" t="s">
        <v>261</v>
      </c>
      <c r="Q238" s="11" t="s">
        <v>261</v>
      </c>
      <c r="R238" s="11" t="s">
        <v>961</v>
      </c>
      <c r="S238" s="11" t="s">
        <v>261</v>
      </c>
      <c r="T238" s="11" t="s">
        <v>261</v>
      </c>
      <c r="U238" s="11" t="s">
        <v>552</v>
      </c>
      <c r="V238" s="11" t="s">
        <v>784</v>
      </c>
      <c r="W238" s="11">
        <v>1</v>
      </c>
      <c r="X238" s="11" t="s">
        <v>16</v>
      </c>
      <c r="Y238" s="11" t="s">
        <v>261</v>
      </c>
      <c r="Z238" s="11" t="s">
        <v>261</v>
      </c>
      <c r="AA238" s="11" t="s">
        <v>261</v>
      </c>
      <c r="AB238" s="11" t="s">
        <v>583</v>
      </c>
      <c r="AC238" s="11" t="s">
        <v>261</v>
      </c>
      <c r="AD238" s="11" t="s">
        <v>261</v>
      </c>
      <c r="AE238" s="11" t="s">
        <v>551</v>
      </c>
      <c r="AF238" s="12" t="s">
        <v>261</v>
      </c>
      <c r="AG238" s="11" t="s">
        <v>261</v>
      </c>
    </row>
    <row r="239" spans="1:33" ht="45" x14ac:dyDescent="0.25">
      <c r="A239" s="11">
        <v>1</v>
      </c>
      <c r="B239" s="3" t="s">
        <v>261</v>
      </c>
      <c r="C239" s="11">
        <v>213942</v>
      </c>
      <c r="D239" s="11" t="s">
        <v>871</v>
      </c>
      <c r="E239" s="11" t="str">
        <f>MID(Table2[[#This Row],[تاريخ تاييد]],1,7)</f>
        <v>1404/03</v>
      </c>
      <c r="F239" s="11" t="str">
        <f>MID(Table2[[#This Row],[تاريخ تاييد]],6,2)</f>
        <v>03</v>
      </c>
      <c r="G239" s="11" t="str">
        <f>LEFT(Table2[[#This Row],[تاريخ تاييد]],4)</f>
        <v>1404</v>
      </c>
      <c r="H239" s="11" t="str">
        <f>VLOOKUP(Table2[[#This Row],[شماره فني]],Sheet7!A:C,3,0)</f>
        <v>جلو آمپر</v>
      </c>
      <c r="I239" s="11" t="str">
        <f>VLOOKUP(Table2[[#This Row],[شماره فني]],Sheet7!A:B,2,0)</f>
        <v>جلو آمپر207  معمولی85 گانه</v>
      </c>
      <c r="J239" s="11" t="s">
        <v>882</v>
      </c>
      <c r="K239" s="11" t="s">
        <v>723</v>
      </c>
      <c r="L239" s="11" t="s">
        <v>261</v>
      </c>
      <c r="M239" s="11" t="s">
        <v>261</v>
      </c>
      <c r="N239" s="11" t="s">
        <v>261</v>
      </c>
      <c r="O239" s="11" t="s">
        <v>261</v>
      </c>
      <c r="P239" s="11" t="s">
        <v>261</v>
      </c>
      <c r="Q239" s="11" t="s">
        <v>261</v>
      </c>
      <c r="R239" s="11" t="s">
        <v>961</v>
      </c>
      <c r="S239" s="11" t="s">
        <v>261</v>
      </c>
      <c r="T239" s="11" t="s">
        <v>261</v>
      </c>
      <c r="U239" s="11" t="s">
        <v>552</v>
      </c>
      <c r="V239" s="11" t="s">
        <v>784</v>
      </c>
      <c r="W239" s="11">
        <v>1</v>
      </c>
      <c r="X239" s="11" t="s">
        <v>30</v>
      </c>
      <c r="Y239" s="11" t="s">
        <v>261</v>
      </c>
      <c r="Z239" s="11" t="s">
        <v>261</v>
      </c>
      <c r="AA239" s="11" t="s">
        <v>261</v>
      </c>
      <c r="AB239" s="11" t="s">
        <v>583</v>
      </c>
      <c r="AC239" s="11" t="s">
        <v>261</v>
      </c>
      <c r="AD239" s="11" t="s">
        <v>261</v>
      </c>
      <c r="AE239" s="11" t="s">
        <v>551</v>
      </c>
      <c r="AF239" s="12" t="s">
        <v>261</v>
      </c>
      <c r="AG239" s="11" t="s">
        <v>261</v>
      </c>
    </row>
    <row r="240" spans="1:33" ht="45" x14ac:dyDescent="0.25">
      <c r="A240" s="11">
        <v>1</v>
      </c>
      <c r="B240" s="3" t="s">
        <v>261</v>
      </c>
      <c r="C240" s="11">
        <v>214383</v>
      </c>
      <c r="D240" s="11" t="s">
        <v>872</v>
      </c>
      <c r="E240" s="11" t="str">
        <f>MID(Table2[[#This Row],[تاريخ تاييد]],1,7)</f>
        <v>1404/03</v>
      </c>
      <c r="F240" s="11" t="str">
        <f>MID(Table2[[#This Row],[تاريخ تاييد]],6,2)</f>
        <v>03</v>
      </c>
      <c r="G240" s="11" t="str">
        <f>LEFT(Table2[[#This Row],[تاريخ تاييد]],4)</f>
        <v>1404</v>
      </c>
      <c r="H240" s="11" t="str">
        <f>VLOOKUP(Table2[[#This Row],[شماره فني]],Sheet7!A:C,3,0)</f>
        <v>کلید شیشه بالابر</v>
      </c>
      <c r="I240" s="11" t="str">
        <f>VLOOKUP(Table2[[#This Row],[شماره فني]],Sheet7!A:B,2,0)</f>
        <v>کلید شیشه بالابر جلو چپ دنا</v>
      </c>
      <c r="J240" s="11" t="s">
        <v>875</v>
      </c>
      <c r="K240" s="11" t="s">
        <v>876</v>
      </c>
      <c r="L240" s="11" t="s">
        <v>261</v>
      </c>
      <c r="M240" s="11" t="s">
        <v>261</v>
      </c>
      <c r="N240" s="11" t="s">
        <v>261</v>
      </c>
      <c r="O240" s="11" t="s">
        <v>261</v>
      </c>
      <c r="P240" s="11" t="s">
        <v>261</v>
      </c>
      <c r="Q240" s="11" t="s">
        <v>261</v>
      </c>
      <c r="R240" s="11" t="s">
        <v>961</v>
      </c>
      <c r="S240" s="11" t="s">
        <v>261</v>
      </c>
      <c r="T240" s="11" t="s">
        <v>261</v>
      </c>
      <c r="U240" s="11" t="s">
        <v>552</v>
      </c>
      <c r="V240" s="11" t="s">
        <v>784</v>
      </c>
      <c r="W240" s="11">
        <v>1</v>
      </c>
      <c r="X240" s="11" t="s">
        <v>387</v>
      </c>
      <c r="Y240" s="11" t="s">
        <v>261</v>
      </c>
      <c r="Z240" s="11" t="s">
        <v>261</v>
      </c>
      <c r="AA240" s="11" t="s">
        <v>261</v>
      </c>
      <c r="AB240" s="11" t="s">
        <v>583</v>
      </c>
      <c r="AC240" s="11" t="s">
        <v>261</v>
      </c>
      <c r="AD240" s="11" t="s">
        <v>261</v>
      </c>
      <c r="AE240" s="11" t="s">
        <v>551</v>
      </c>
      <c r="AF240" s="12" t="s">
        <v>261</v>
      </c>
      <c r="AG240" s="11" t="s">
        <v>261</v>
      </c>
    </row>
    <row r="241" spans="1:33" ht="45" x14ac:dyDescent="0.25">
      <c r="A241" s="11">
        <v>1</v>
      </c>
      <c r="B241" s="3" t="s">
        <v>261</v>
      </c>
      <c r="C241" s="11">
        <v>214608</v>
      </c>
      <c r="D241" s="11" t="s">
        <v>883</v>
      </c>
      <c r="E241" s="11" t="str">
        <f>MID(Table2[[#This Row],[تاريخ تاييد]],1,7)</f>
        <v>1404/03</v>
      </c>
      <c r="F241" s="11" t="str">
        <f>MID(Table2[[#This Row],[تاريخ تاييد]],6,2)</f>
        <v>03</v>
      </c>
      <c r="G241" s="11" t="str">
        <f>LEFT(Table2[[#This Row],[تاريخ تاييد]],4)</f>
        <v>1404</v>
      </c>
      <c r="H241" s="11" t="str">
        <f>VLOOKUP(Table2[[#This Row],[شماره فني]],Sheet7!A:C,3,0)</f>
        <v>جلو آمپر</v>
      </c>
      <c r="I241" s="11" t="str">
        <f>VLOOKUP(Table2[[#This Row],[شماره فني]],Sheet7!A:B,2,0)</f>
        <v>جلو آمپر207 اتوماتیک85 گانه</v>
      </c>
      <c r="J241" s="11" t="s">
        <v>885</v>
      </c>
      <c r="K241" s="11" t="s">
        <v>231</v>
      </c>
      <c r="L241" s="11" t="s">
        <v>261</v>
      </c>
      <c r="M241" s="11" t="s">
        <v>261</v>
      </c>
      <c r="N241" s="11" t="s">
        <v>261</v>
      </c>
      <c r="O241" s="11" t="s">
        <v>261</v>
      </c>
      <c r="P241" s="11" t="s">
        <v>261</v>
      </c>
      <c r="Q241" s="11" t="s">
        <v>261</v>
      </c>
      <c r="R241" s="11" t="s">
        <v>961</v>
      </c>
      <c r="S241" s="11" t="s">
        <v>261</v>
      </c>
      <c r="T241" s="11" t="s">
        <v>261</v>
      </c>
      <c r="U241" s="11" t="s">
        <v>552</v>
      </c>
      <c r="V241" s="11" t="s">
        <v>784</v>
      </c>
      <c r="W241" s="11">
        <v>1</v>
      </c>
      <c r="X241" s="11" t="s">
        <v>31</v>
      </c>
      <c r="Y241" s="11" t="s">
        <v>261</v>
      </c>
      <c r="Z241" s="11" t="s">
        <v>261</v>
      </c>
      <c r="AA241" s="11" t="s">
        <v>261</v>
      </c>
      <c r="AB241" s="11" t="s">
        <v>583</v>
      </c>
      <c r="AC241" s="11" t="s">
        <v>261</v>
      </c>
      <c r="AD241" s="11" t="s">
        <v>261</v>
      </c>
      <c r="AE241" s="11" t="s">
        <v>551</v>
      </c>
      <c r="AF241" s="12" t="s">
        <v>261</v>
      </c>
      <c r="AG241" s="11" t="s">
        <v>261</v>
      </c>
    </row>
    <row r="242" spans="1:33" ht="30" x14ac:dyDescent="0.25">
      <c r="A242" s="11">
        <v>1</v>
      </c>
      <c r="B242" s="3" t="s">
        <v>261</v>
      </c>
      <c r="C242" s="11">
        <v>214660</v>
      </c>
      <c r="D242" s="11" t="s">
        <v>883</v>
      </c>
      <c r="E242" s="11" t="str">
        <f>MID(Table2[[#This Row],[تاريخ تاييد]],1,7)</f>
        <v>1404/03</v>
      </c>
      <c r="F242" s="11" t="str">
        <f>MID(Table2[[#This Row],[تاريخ تاييد]],6,2)</f>
        <v>03</v>
      </c>
      <c r="G242" s="11" t="str">
        <f>LEFT(Table2[[#This Row],[تاريخ تاييد]],4)</f>
        <v>1404</v>
      </c>
      <c r="H242" s="11" t="str">
        <f>VLOOKUP(Table2[[#This Row],[شماره فني]],Sheet7!A:C,3,0)</f>
        <v>NOD</v>
      </c>
      <c r="I242" s="11" t="str">
        <f>VLOOKUP(Table2[[#This Row],[شماره فني]],Sheet7!A:B,2,0)</f>
        <v>NBCM TARA SAL</v>
      </c>
      <c r="J242" s="11" t="s">
        <v>886</v>
      </c>
      <c r="K242" s="11" t="s">
        <v>334</v>
      </c>
      <c r="L242" s="11" t="s">
        <v>22</v>
      </c>
      <c r="M242" s="11" t="s">
        <v>899</v>
      </c>
      <c r="N242" s="11" t="s">
        <v>261</v>
      </c>
      <c r="O242" s="11" t="s">
        <v>261</v>
      </c>
      <c r="P242" s="11" t="s">
        <v>261</v>
      </c>
      <c r="Q242" s="11" t="s">
        <v>261</v>
      </c>
      <c r="R242" s="11" t="s">
        <v>902</v>
      </c>
      <c r="S242" s="11" t="s">
        <v>261</v>
      </c>
      <c r="T242" s="11" t="s">
        <v>802</v>
      </c>
      <c r="U242" s="11" t="s">
        <v>797</v>
      </c>
      <c r="V242" s="11" t="s">
        <v>561</v>
      </c>
      <c r="W242" s="11">
        <v>1</v>
      </c>
      <c r="X242" s="11" t="s">
        <v>95</v>
      </c>
      <c r="Y242" s="11" t="s">
        <v>261</v>
      </c>
      <c r="Z242" s="11" t="s">
        <v>899</v>
      </c>
      <c r="AA242" s="11" t="s">
        <v>66</v>
      </c>
      <c r="AB242" s="11" t="s">
        <v>28</v>
      </c>
      <c r="AC242" s="11" t="s">
        <v>261</v>
      </c>
      <c r="AD242" s="11" t="s">
        <v>261</v>
      </c>
      <c r="AE242" s="11" t="s">
        <v>551</v>
      </c>
      <c r="AF242" s="12" t="s">
        <v>261</v>
      </c>
      <c r="AG242" s="11" t="s">
        <v>261</v>
      </c>
    </row>
    <row r="243" spans="1:33" ht="30" x14ac:dyDescent="0.25">
      <c r="A243" s="11">
        <v>1</v>
      </c>
      <c r="B243" s="3" t="s">
        <v>261</v>
      </c>
      <c r="C243" s="11">
        <v>214661</v>
      </c>
      <c r="D243" s="11" t="s">
        <v>883</v>
      </c>
      <c r="E243" s="11" t="str">
        <f>MID(Table2[[#This Row],[تاريخ تاييد]],1,7)</f>
        <v>1404/03</v>
      </c>
      <c r="F243" s="11" t="str">
        <f>MID(Table2[[#This Row],[تاريخ تاييد]],6,2)</f>
        <v>03</v>
      </c>
      <c r="G243" s="11" t="str">
        <f>LEFT(Table2[[#This Row],[تاريخ تاييد]],4)</f>
        <v>1404</v>
      </c>
      <c r="H243" s="11" t="str">
        <f>VLOOKUP(Table2[[#This Row],[شماره فني]],Sheet7!A:C,3,0)</f>
        <v>NOD</v>
      </c>
      <c r="I243" s="11" t="str">
        <f>VLOOKUP(Table2[[#This Row],[شماره فني]],Sheet7!A:B,2,0)</f>
        <v>NBCM DENA SBR</v>
      </c>
      <c r="J243" s="11" t="s">
        <v>887</v>
      </c>
      <c r="K243" s="11" t="s">
        <v>334</v>
      </c>
      <c r="L243" s="11" t="s">
        <v>23</v>
      </c>
      <c r="M243" s="11" t="s">
        <v>893</v>
      </c>
      <c r="N243" s="11" t="s">
        <v>261</v>
      </c>
      <c r="O243" s="11" t="s">
        <v>261</v>
      </c>
      <c r="P243" s="11" t="s">
        <v>261</v>
      </c>
      <c r="Q243" s="11" t="s">
        <v>261</v>
      </c>
      <c r="R243" s="11" t="s">
        <v>896</v>
      </c>
      <c r="S243" s="11" t="s">
        <v>261</v>
      </c>
      <c r="T243" s="11" t="s">
        <v>799</v>
      </c>
      <c r="U243" s="11" t="s">
        <v>813</v>
      </c>
      <c r="V243" s="11" t="s">
        <v>974</v>
      </c>
      <c r="W243" s="11">
        <v>1</v>
      </c>
      <c r="X243" s="11" t="s">
        <v>702</v>
      </c>
      <c r="Y243" s="11" t="s">
        <v>261</v>
      </c>
      <c r="Z243" s="11" t="s">
        <v>893</v>
      </c>
      <c r="AA243" s="11" t="s">
        <v>66</v>
      </c>
      <c r="AB243" s="11" t="s">
        <v>27</v>
      </c>
      <c r="AC243" s="11" t="s">
        <v>987</v>
      </c>
      <c r="AD243" s="11" t="s">
        <v>261</v>
      </c>
      <c r="AE243" s="11" t="s">
        <v>551</v>
      </c>
      <c r="AF243" s="12" t="s">
        <v>261</v>
      </c>
      <c r="AG243" s="11" t="s">
        <v>261</v>
      </c>
    </row>
    <row r="244" spans="1:33" ht="30" x14ac:dyDescent="0.25">
      <c r="A244" s="11">
        <v>1</v>
      </c>
      <c r="B244" s="3" t="s">
        <v>261</v>
      </c>
      <c r="C244" s="11">
        <v>214858</v>
      </c>
      <c r="D244" s="11" t="s">
        <v>884</v>
      </c>
      <c r="E244" s="11" t="str">
        <f>MID(Table2[[#This Row],[تاريخ تاييد]],1,7)</f>
        <v>1404/03</v>
      </c>
      <c r="F244" s="11" t="str">
        <f>MID(Table2[[#This Row],[تاريخ تاييد]],6,2)</f>
        <v>03</v>
      </c>
      <c r="G244" s="11" t="str">
        <f>LEFT(Table2[[#This Row],[تاريخ تاييد]],4)</f>
        <v>1404</v>
      </c>
      <c r="H244" s="11" t="str">
        <f>VLOOKUP(Table2[[#This Row],[شماره فني]],Sheet7!A:C,3,0)</f>
        <v>جلو آمپر</v>
      </c>
      <c r="I244" s="11" t="str">
        <f>VLOOKUP(Table2[[#This Row],[شماره فني]],Sheet7!A:B,2,0)</f>
        <v>جلو آمپر207  معمولی85 گانه</v>
      </c>
      <c r="J244" s="11" t="s">
        <v>888</v>
      </c>
      <c r="K244" s="11" t="s">
        <v>232</v>
      </c>
      <c r="L244" s="11" t="s">
        <v>22</v>
      </c>
      <c r="M244" s="11" t="s">
        <v>899</v>
      </c>
      <c r="N244" s="11" t="s">
        <v>261</v>
      </c>
      <c r="O244" s="11" t="s">
        <v>261</v>
      </c>
      <c r="P244" s="11" t="s">
        <v>261</v>
      </c>
      <c r="Q244" s="11" t="s">
        <v>261</v>
      </c>
      <c r="R244" s="11" t="s">
        <v>900</v>
      </c>
      <c r="S244" s="11" t="s">
        <v>261</v>
      </c>
      <c r="T244" s="11" t="s">
        <v>822</v>
      </c>
      <c r="U244" s="11" t="s">
        <v>901</v>
      </c>
      <c r="V244" s="11" t="s">
        <v>586</v>
      </c>
      <c r="W244" s="11">
        <v>2</v>
      </c>
      <c r="X244" s="11" t="s">
        <v>30</v>
      </c>
      <c r="Y244" s="11" t="s">
        <v>261</v>
      </c>
      <c r="Z244" s="11" t="s">
        <v>899</v>
      </c>
      <c r="AA244" s="11" t="s">
        <v>66</v>
      </c>
      <c r="AB244" s="11" t="s">
        <v>26</v>
      </c>
      <c r="AC244" s="11" t="s">
        <v>261</v>
      </c>
      <c r="AD244" s="11" t="s">
        <v>903</v>
      </c>
      <c r="AE244" s="11" t="s">
        <v>551</v>
      </c>
      <c r="AF244" s="12" t="s">
        <v>261</v>
      </c>
      <c r="AG244" s="11" t="s">
        <v>261</v>
      </c>
    </row>
    <row r="245" spans="1:33" ht="30" x14ac:dyDescent="0.25">
      <c r="A245" s="11">
        <v>1</v>
      </c>
      <c r="B245" s="3" t="s">
        <v>261</v>
      </c>
      <c r="C245" s="11">
        <v>214859</v>
      </c>
      <c r="D245" s="11" t="s">
        <v>884</v>
      </c>
      <c r="E245" s="11" t="str">
        <f>MID(Table2[[#This Row],[تاريخ تاييد]],1,7)</f>
        <v>1404/03</v>
      </c>
      <c r="F245" s="11" t="str">
        <f>MID(Table2[[#This Row],[تاريخ تاييد]],6,2)</f>
        <v>03</v>
      </c>
      <c r="G245" s="11" t="str">
        <f>LEFT(Table2[[#This Row],[تاريخ تاييد]],4)</f>
        <v>1404</v>
      </c>
      <c r="H245" s="11" t="str">
        <f>VLOOKUP(Table2[[#This Row],[شماره فني]],Sheet7!A:C,3,0)</f>
        <v>جلو آمپر</v>
      </c>
      <c r="I245" s="11" t="str">
        <f>VLOOKUP(Table2[[#This Row],[شماره فني]],Sheet7!A:B,2,0)</f>
        <v>جلو آمپر تارا اتوماتیک</v>
      </c>
      <c r="J245" s="11" t="s">
        <v>889</v>
      </c>
      <c r="K245" s="11" t="s">
        <v>334</v>
      </c>
      <c r="L245" s="11" t="s">
        <v>22</v>
      </c>
      <c r="M245" s="11" t="s">
        <v>893</v>
      </c>
      <c r="N245" s="11" t="s">
        <v>261</v>
      </c>
      <c r="O245" s="11" t="s">
        <v>261</v>
      </c>
      <c r="P245" s="11" t="s">
        <v>261</v>
      </c>
      <c r="Q245" s="11" t="s">
        <v>261</v>
      </c>
      <c r="R245" s="11" t="s">
        <v>894</v>
      </c>
      <c r="S245" s="11" t="s">
        <v>261</v>
      </c>
      <c r="T245" s="11" t="s">
        <v>820</v>
      </c>
      <c r="U245" s="11" t="s">
        <v>824</v>
      </c>
      <c r="V245" s="11" t="s">
        <v>895</v>
      </c>
      <c r="W245" s="11">
        <v>1</v>
      </c>
      <c r="X245" s="11" t="s">
        <v>20</v>
      </c>
      <c r="Y245" s="11" t="s">
        <v>261</v>
      </c>
      <c r="Z245" s="11" t="s">
        <v>893</v>
      </c>
      <c r="AA245" s="11" t="s">
        <v>66</v>
      </c>
      <c r="AB245" s="11" t="s">
        <v>26</v>
      </c>
      <c r="AC245" s="11" t="s">
        <v>261</v>
      </c>
      <c r="AD245" s="11" t="s">
        <v>904</v>
      </c>
      <c r="AE245" s="11" t="s">
        <v>551</v>
      </c>
      <c r="AF245" s="12" t="s">
        <v>261</v>
      </c>
      <c r="AG245" s="11" t="s">
        <v>261</v>
      </c>
    </row>
    <row r="246" spans="1:33" ht="30" x14ac:dyDescent="0.25">
      <c r="A246" s="11">
        <v>1</v>
      </c>
      <c r="B246" s="3" t="s">
        <v>261</v>
      </c>
      <c r="C246" s="11">
        <v>214902</v>
      </c>
      <c r="D246" s="11" t="s">
        <v>884</v>
      </c>
      <c r="E246" s="11" t="str">
        <f>MID(Table2[[#This Row],[تاريخ تاييد]],1,7)</f>
        <v>1404/03</v>
      </c>
      <c r="F246" s="11" t="str">
        <f>MID(Table2[[#This Row],[تاريخ تاييد]],6,2)</f>
        <v>03</v>
      </c>
      <c r="G246" s="11" t="str">
        <f>LEFT(Table2[[#This Row],[تاريخ تاييد]],4)</f>
        <v>1404</v>
      </c>
      <c r="H246" s="11" t="str">
        <f>VLOOKUP(Table2[[#This Row],[شماره فني]],Sheet7!A:C,3,0)</f>
        <v>کلید شیشه بالابر</v>
      </c>
      <c r="I246" s="11" t="str">
        <f>VLOOKUP(Table2[[#This Row],[شماره فني]],Sheet7!A:B,2,0)</f>
        <v>کلید شیشه بالابر جلو راست سورن</v>
      </c>
      <c r="J246" s="11" t="s">
        <v>890</v>
      </c>
      <c r="K246" s="11" t="s">
        <v>723</v>
      </c>
      <c r="L246" s="11" t="s">
        <v>261</v>
      </c>
      <c r="M246" s="11" t="s">
        <v>261</v>
      </c>
      <c r="N246" s="11" t="s">
        <v>261</v>
      </c>
      <c r="O246" s="11" t="s">
        <v>261</v>
      </c>
      <c r="P246" s="11" t="s">
        <v>261</v>
      </c>
      <c r="Q246" s="11" t="s">
        <v>261</v>
      </c>
      <c r="R246" s="11" t="s">
        <v>261</v>
      </c>
      <c r="S246" s="11" t="s">
        <v>261</v>
      </c>
      <c r="T246" s="11" t="s">
        <v>261</v>
      </c>
      <c r="U246" s="11" t="s">
        <v>1055</v>
      </c>
      <c r="V246" s="11" t="s">
        <v>1055</v>
      </c>
      <c r="W246" s="11">
        <v>10</v>
      </c>
      <c r="X246" s="11" t="s">
        <v>205</v>
      </c>
      <c r="Y246" s="11" t="s">
        <v>261</v>
      </c>
      <c r="Z246" s="11" t="s">
        <v>261</v>
      </c>
      <c r="AA246" s="11" t="s">
        <v>261</v>
      </c>
      <c r="AB246" s="11" t="s">
        <v>28</v>
      </c>
      <c r="AC246" s="11" t="s">
        <v>261</v>
      </c>
      <c r="AD246" s="11" t="s">
        <v>261</v>
      </c>
      <c r="AE246" s="11" t="s">
        <v>551</v>
      </c>
      <c r="AF246" s="12" t="s">
        <v>261</v>
      </c>
      <c r="AG246" s="11" t="s">
        <v>261</v>
      </c>
    </row>
    <row r="247" spans="1:33" ht="30" x14ac:dyDescent="0.25">
      <c r="A247" s="11">
        <v>1</v>
      </c>
      <c r="B247" s="3" t="s">
        <v>261</v>
      </c>
      <c r="C247" s="11">
        <v>215168</v>
      </c>
      <c r="D247" s="11" t="s">
        <v>898</v>
      </c>
      <c r="E247" s="11" t="str">
        <f>MID(Table2[[#This Row],[تاريخ تاييد]],1,7)</f>
        <v>1404/04</v>
      </c>
      <c r="F247" s="11" t="str">
        <f>MID(Table2[[#This Row],[تاريخ تاييد]],6,2)</f>
        <v>04</v>
      </c>
      <c r="G247" s="11" t="str">
        <f>LEFT(Table2[[#This Row],[تاريخ تاييد]],4)</f>
        <v>1404</v>
      </c>
      <c r="H247" s="11" t="str">
        <f>VLOOKUP(Table2[[#This Row],[شماره فني]],Sheet7!A:C,3,0)</f>
        <v>جلو آمپر</v>
      </c>
      <c r="I247" s="11" t="str">
        <f>VLOOKUP(Table2[[#This Row],[شماره فني]],Sheet7!A:B,2,0)</f>
        <v>جلو آمپر تارا دستی</v>
      </c>
      <c r="J247" s="11" t="s">
        <v>897</v>
      </c>
      <c r="K247" s="11" t="s">
        <v>334</v>
      </c>
      <c r="L247" s="11" t="s">
        <v>22</v>
      </c>
      <c r="M247" s="11" t="s">
        <v>919</v>
      </c>
      <c r="N247" s="11" t="s">
        <v>261</v>
      </c>
      <c r="O247" s="11" t="s">
        <v>261</v>
      </c>
      <c r="P247" s="11" t="s">
        <v>261</v>
      </c>
      <c r="Q247" s="11" t="s">
        <v>261</v>
      </c>
      <c r="R247" s="11" t="s">
        <v>920</v>
      </c>
      <c r="S247" s="11" t="s">
        <v>921</v>
      </c>
      <c r="T247" s="11" t="s">
        <v>922</v>
      </c>
      <c r="U247" s="11" t="s">
        <v>809</v>
      </c>
      <c r="V247" s="11" t="s">
        <v>923</v>
      </c>
      <c r="W247" s="11">
        <v>1</v>
      </c>
      <c r="X247" s="11" t="s">
        <v>97</v>
      </c>
      <c r="Y247" s="11" t="s">
        <v>261</v>
      </c>
      <c r="Z247" s="11" t="s">
        <v>919</v>
      </c>
      <c r="AA247" s="11" t="s">
        <v>66</v>
      </c>
      <c r="AB247" s="11" t="s">
        <v>583</v>
      </c>
      <c r="AC247" s="11" t="s">
        <v>261</v>
      </c>
      <c r="AD247" s="11" t="s">
        <v>261</v>
      </c>
      <c r="AE247" s="11" t="s">
        <v>551</v>
      </c>
      <c r="AF247" s="12" t="s">
        <v>975</v>
      </c>
      <c r="AG247" s="11" t="s">
        <v>261</v>
      </c>
    </row>
    <row r="248" spans="1:33" ht="45" x14ac:dyDescent="0.25">
      <c r="A248" s="11">
        <v>1</v>
      </c>
      <c r="B248" s="3" t="s">
        <v>261</v>
      </c>
      <c r="C248" s="11">
        <v>215397</v>
      </c>
      <c r="D248" s="11" t="s">
        <v>912</v>
      </c>
      <c r="E248" s="11" t="str">
        <f>MID(Table2[[#This Row],[تاريخ تاييد]],1,7)</f>
        <v>1404/04</v>
      </c>
      <c r="F248" s="11" t="str">
        <f>MID(Table2[[#This Row],[تاريخ تاييد]],6,2)</f>
        <v>04</v>
      </c>
      <c r="G248" s="11" t="str">
        <f>LEFT(Table2[[#This Row],[تاريخ تاييد]],4)</f>
        <v>1404</v>
      </c>
      <c r="H248" s="11" t="str">
        <f>VLOOKUP(Table2[[#This Row],[شماره فني]],Sheet7!A:C,3,0)</f>
        <v>NOD</v>
      </c>
      <c r="I248" s="11" t="str">
        <f>VLOOKUP(Table2[[#This Row],[شماره فني]],Sheet7!A:B,2,0)</f>
        <v>SBM 207</v>
      </c>
      <c r="J248" s="11" t="s">
        <v>905</v>
      </c>
      <c r="K248" s="11" t="s">
        <v>334</v>
      </c>
      <c r="L248" s="11" t="s">
        <v>22</v>
      </c>
      <c r="M248" s="11" t="s">
        <v>919</v>
      </c>
      <c r="N248" s="11" t="s">
        <v>261</v>
      </c>
      <c r="O248" s="11" t="s">
        <v>261</v>
      </c>
      <c r="P248" s="11" t="s">
        <v>261</v>
      </c>
      <c r="Q248" s="11" t="s">
        <v>261</v>
      </c>
      <c r="R248" s="11" t="s">
        <v>961</v>
      </c>
      <c r="S248" s="11" t="s">
        <v>261</v>
      </c>
      <c r="T248" s="11" t="s">
        <v>261</v>
      </c>
      <c r="U248" s="11" t="s">
        <v>552</v>
      </c>
      <c r="V248" s="11" t="s">
        <v>784</v>
      </c>
      <c r="W248" s="11">
        <v>1</v>
      </c>
      <c r="X248" s="11" t="s">
        <v>514</v>
      </c>
      <c r="Y248" s="11" t="s">
        <v>261</v>
      </c>
      <c r="Z248" s="11" t="s">
        <v>261</v>
      </c>
      <c r="AA248" s="11" t="s">
        <v>261</v>
      </c>
      <c r="AB248" s="11" t="s">
        <v>583</v>
      </c>
      <c r="AC248" s="11" t="s">
        <v>261</v>
      </c>
      <c r="AD248" s="11" t="s">
        <v>261</v>
      </c>
      <c r="AE248" s="11" t="s">
        <v>551</v>
      </c>
      <c r="AF248" s="12" t="s">
        <v>261</v>
      </c>
      <c r="AG248" s="11" t="s">
        <v>261</v>
      </c>
    </row>
    <row r="249" spans="1:33" ht="75" x14ac:dyDescent="0.25">
      <c r="A249" s="11">
        <v>1</v>
      </c>
      <c r="B249" s="3" t="s">
        <v>261</v>
      </c>
      <c r="C249" s="11">
        <v>215475</v>
      </c>
      <c r="D249" s="11" t="s">
        <v>913</v>
      </c>
      <c r="E249" s="11" t="str">
        <f>MID(Table2[[#This Row],[تاريخ تاييد]],1,7)</f>
        <v>1404/04</v>
      </c>
      <c r="F249" s="11" t="str">
        <f>MID(Table2[[#This Row],[تاريخ تاييد]],6,2)</f>
        <v>04</v>
      </c>
      <c r="G249" s="11" t="str">
        <f>LEFT(Table2[[#This Row],[تاريخ تاييد]],4)</f>
        <v>1404</v>
      </c>
      <c r="H249" s="11" t="str">
        <f>VLOOKUP(Table2[[#This Row],[شماره فني]],Sheet7!A:C,3,0)</f>
        <v>جلو آمپر</v>
      </c>
      <c r="I249" s="11" t="str">
        <f>VLOOKUP(Table2[[#This Row],[شماره فني]],Sheet7!A:B,2,0)</f>
        <v>جلو آمپر207 اتوماتیک85 گانه</v>
      </c>
      <c r="J249" s="11" t="s">
        <v>906</v>
      </c>
      <c r="K249" s="11" t="s">
        <v>729</v>
      </c>
      <c r="L249" s="11" t="s">
        <v>22</v>
      </c>
      <c r="M249" s="11" t="s">
        <v>919</v>
      </c>
      <c r="N249" s="11" t="s">
        <v>261</v>
      </c>
      <c r="O249" s="11" t="s">
        <v>261</v>
      </c>
      <c r="P249" s="11" t="s">
        <v>261</v>
      </c>
      <c r="Q249" s="11" t="s">
        <v>261</v>
      </c>
      <c r="R249" s="11" t="s">
        <v>925</v>
      </c>
      <c r="S249" s="11" t="s">
        <v>926</v>
      </c>
      <c r="T249" s="11" t="s">
        <v>817</v>
      </c>
      <c r="U249" s="11" t="s">
        <v>1178</v>
      </c>
      <c r="V249" s="11" t="s">
        <v>813</v>
      </c>
      <c r="W249" s="11">
        <v>1</v>
      </c>
      <c r="X249" s="11" t="s">
        <v>31</v>
      </c>
      <c r="Y249" s="11" t="s">
        <v>261</v>
      </c>
      <c r="Z249" s="11" t="s">
        <v>919</v>
      </c>
      <c r="AA249" s="11" t="s">
        <v>66</v>
      </c>
      <c r="AB249" s="11" t="s">
        <v>26</v>
      </c>
      <c r="AC249" s="11" t="s">
        <v>261</v>
      </c>
      <c r="AD249" s="11" t="s">
        <v>261</v>
      </c>
      <c r="AE249" s="11" t="s">
        <v>551</v>
      </c>
      <c r="AF249" s="12" t="s">
        <v>976</v>
      </c>
      <c r="AG249" s="11" t="s">
        <v>261</v>
      </c>
    </row>
    <row r="250" spans="1:33" ht="30" x14ac:dyDescent="0.25">
      <c r="A250" s="11">
        <v>1</v>
      </c>
      <c r="B250" s="3" t="s">
        <v>261</v>
      </c>
      <c r="C250" s="11">
        <v>215558</v>
      </c>
      <c r="D250" s="11" t="s">
        <v>914</v>
      </c>
      <c r="E250" s="11" t="str">
        <f>MID(Table2[[#This Row],[تاريخ تاييد]],1,7)</f>
        <v>1404/04</v>
      </c>
      <c r="F250" s="11" t="str">
        <f>MID(Table2[[#This Row],[تاريخ تاييد]],6,2)</f>
        <v>04</v>
      </c>
      <c r="G250" s="11" t="str">
        <f>LEFT(Table2[[#This Row],[تاريخ تاييد]],4)</f>
        <v>1404</v>
      </c>
      <c r="H250" s="11" t="str">
        <f>VLOOKUP(Table2[[#This Row],[شماره فني]],Sheet7!A:C,3,0)</f>
        <v>MFD</v>
      </c>
      <c r="I250" s="11" t="str">
        <f>VLOOKUP(Table2[[#This Row],[شماره فني]],Sheet7!A:B,2,0)</f>
        <v>MFD RUNNA</v>
      </c>
      <c r="J250" s="11" t="s">
        <v>907</v>
      </c>
      <c r="K250" s="11" t="s">
        <v>231</v>
      </c>
      <c r="L250" s="11" t="s">
        <v>22</v>
      </c>
      <c r="M250" s="11" t="s">
        <v>919</v>
      </c>
      <c r="N250" s="11" t="s">
        <v>261</v>
      </c>
      <c r="O250" s="11" t="s">
        <v>261</v>
      </c>
      <c r="P250" s="11" t="s">
        <v>261</v>
      </c>
      <c r="Q250" s="11" t="s">
        <v>261</v>
      </c>
      <c r="R250" s="11" t="s">
        <v>949</v>
      </c>
      <c r="S250" s="11" t="s">
        <v>950</v>
      </c>
      <c r="T250" s="11" t="s">
        <v>951</v>
      </c>
      <c r="U250" s="11" t="s">
        <v>1178</v>
      </c>
      <c r="V250" s="11" t="s">
        <v>949</v>
      </c>
      <c r="W250" s="11">
        <v>1</v>
      </c>
      <c r="X250" s="11" t="s">
        <v>121</v>
      </c>
      <c r="Y250" s="11" t="s">
        <v>261</v>
      </c>
      <c r="Z250" s="11" t="s">
        <v>261</v>
      </c>
      <c r="AA250" s="11" t="s">
        <v>261</v>
      </c>
      <c r="AB250" s="11" t="s">
        <v>28</v>
      </c>
      <c r="AC250" s="11" t="s">
        <v>261</v>
      </c>
      <c r="AD250" s="11" t="s">
        <v>261</v>
      </c>
      <c r="AE250" s="11" t="s">
        <v>551</v>
      </c>
      <c r="AF250" s="12" t="s">
        <v>261</v>
      </c>
      <c r="AG250" s="11" t="s">
        <v>261</v>
      </c>
    </row>
    <row r="251" spans="1:33" ht="30" x14ac:dyDescent="0.25">
      <c r="A251" s="11">
        <v>1</v>
      </c>
      <c r="B251" s="3" t="s">
        <v>261</v>
      </c>
      <c r="C251" s="11">
        <v>215690</v>
      </c>
      <c r="D251" s="11" t="s">
        <v>915</v>
      </c>
      <c r="E251" s="11" t="str">
        <f>MID(Table2[[#This Row],[تاريخ تاييد]],1,7)</f>
        <v>1404/04</v>
      </c>
      <c r="F251" s="11" t="str">
        <f>MID(Table2[[#This Row],[تاريخ تاييد]],6,2)</f>
        <v>04</v>
      </c>
      <c r="G251" s="11" t="str">
        <f>LEFT(Table2[[#This Row],[تاريخ تاييد]],4)</f>
        <v>1404</v>
      </c>
      <c r="H251" s="11" t="str">
        <f>VLOOKUP(Table2[[#This Row],[شماره فني]],Sheet7!A:C,3,0)</f>
        <v>جلو آمپر</v>
      </c>
      <c r="I251" s="11" t="str">
        <f>VLOOKUP(Table2[[#This Row],[شماره فني]],Sheet7!A:B,2,0)</f>
        <v>جلو آمپرSOREN TC 85 گانه</v>
      </c>
      <c r="J251" s="11" t="s">
        <v>908</v>
      </c>
      <c r="K251" s="11" t="s">
        <v>952</v>
      </c>
      <c r="L251" s="11" t="s">
        <v>261</v>
      </c>
      <c r="M251" s="11" t="s">
        <v>261</v>
      </c>
      <c r="N251" s="11" t="s">
        <v>261</v>
      </c>
      <c r="O251" s="11" t="s">
        <v>261</v>
      </c>
      <c r="P251" s="11" t="s">
        <v>261</v>
      </c>
      <c r="Q251" s="11" t="s">
        <v>261</v>
      </c>
      <c r="R251" s="11" t="s">
        <v>261</v>
      </c>
      <c r="S251" s="11" t="s">
        <v>261</v>
      </c>
      <c r="T251" s="11" t="s">
        <v>261</v>
      </c>
      <c r="U251" s="11" t="s">
        <v>552</v>
      </c>
      <c r="V251" s="11" t="s">
        <v>784</v>
      </c>
      <c r="W251" s="11">
        <v>3</v>
      </c>
      <c r="X251" s="11" t="s">
        <v>32</v>
      </c>
      <c r="Y251" s="11" t="s">
        <v>261</v>
      </c>
      <c r="Z251" s="11" t="s">
        <v>261</v>
      </c>
      <c r="AA251" s="11" t="s">
        <v>261</v>
      </c>
      <c r="AB251" s="11" t="s">
        <v>583</v>
      </c>
      <c r="AC251" s="11" t="s">
        <v>261</v>
      </c>
      <c r="AD251" s="11" t="s">
        <v>261</v>
      </c>
      <c r="AE251" s="11" t="s">
        <v>551</v>
      </c>
      <c r="AF251" s="12" t="s">
        <v>261</v>
      </c>
      <c r="AG251" s="11" t="s">
        <v>261</v>
      </c>
    </row>
    <row r="252" spans="1:33" ht="30" x14ac:dyDescent="0.25">
      <c r="A252" s="11">
        <v>1</v>
      </c>
      <c r="B252" s="3" t="s">
        <v>261</v>
      </c>
      <c r="C252" s="11">
        <v>215885</v>
      </c>
      <c r="D252" s="11" t="s">
        <v>916</v>
      </c>
      <c r="E252" s="11" t="str">
        <f>MID(Table2[[#This Row],[تاريخ تاييد]],1,7)</f>
        <v>1404/04</v>
      </c>
      <c r="F252" s="11" t="str">
        <f>MID(Table2[[#This Row],[تاريخ تاييد]],6,2)</f>
        <v>04</v>
      </c>
      <c r="G252" s="11" t="str">
        <f>LEFT(Table2[[#This Row],[تاريخ تاييد]],4)</f>
        <v>1404</v>
      </c>
      <c r="H252" s="11" t="str">
        <f>VLOOKUP(Table2[[#This Row],[شماره فني]],Sheet7!A:C,3,0)</f>
        <v>NOD</v>
      </c>
      <c r="I252" s="11" t="str">
        <f>VLOOKUP(Table2[[#This Row],[شماره فني]],Sheet7!A:B,2,0)</f>
        <v>NBCM TARA SAL</v>
      </c>
      <c r="J252" s="11" t="s">
        <v>909</v>
      </c>
      <c r="K252" s="11" t="s">
        <v>232</v>
      </c>
      <c r="L252" s="11" t="s">
        <v>22</v>
      </c>
      <c r="M252" s="11" t="s">
        <v>919</v>
      </c>
      <c r="N252" s="11" t="s">
        <v>261</v>
      </c>
      <c r="O252" s="11" t="s">
        <v>261</v>
      </c>
      <c r="P252" s="11" t="s">
        <v>261</v>
      </c>
      <c r="Q252" s="11" t="s">
        <v>261</v>
      </c>
      <c r="R252" s="11" t="s">
        <v>924</v>
      </c>
      <c r="S252" s="11" t="s">
        <v>954</v>
      </c>
      <c r="T252" s="11" t="s">
        <v>818</v>
      </c>
      <c r="U252" s="11" t="s">
        <v>824</v>
      </c>
      <c r="V252" s="11" t="s">
        <v>583</v>
      </c>
      <c r="W252" s="11">
        <v>1</v>
      </c>
      <c r="X252" s="11" t="s">
        <v>95</v>
      </c>
      <c r="Y252" s="11" t="s">
        <v>261</v>
      </c>
      <c r="Z252" s="11" t="s">
        <v>919</v>
      </c>
      <c r="AA252" s="11" t="s">
        <v>66</v>
      </c>
      <c r="AB252" s="11" t="s">
        <v>583</v>
      </c>
      <c r="AC252" s="11" t="s">
        <v>261</v>
      </c>
      <c r="AD252" s="11" t="s">
        <v>261</v>
      </c>
      <c r="AE252" s="11" t="s">
        <v>551</v>
      </c>
      <c r="AF252" s="12" t="s">
        <v>977</v>
      </c>
      <c r="AG252" s="11" t="s">
        <v>261</v>
      </c>
    </row>
    <row r="253" spans="1:33" ht="45" x14ac:dyDescent="0.25">
      <c r="A253" s="11">
        <v>1</v>
      </c>
      <c r="B253" s="3" t="s">
        <v>261</v>
      </c>
      <c r="C253" s="11">
        <v>215925</v>
      </c>
      <c r="D253" s="11" t="s">
        <v>916</v>
      </c>
      <c r="E253" s="11" t="str">
        <f>MID(Table2[[#This Row],[تاريخ تاييد]],1,7)</f>
        <v>1404/04</v>
      </c>
      <c r="F253" s="11" t="str">
        <f>MID(Table2[[#This Row],[تاريخ تاييد]],6,2)</f>
        <v>04</v>
      </c>
      <c r="G253" s="11" t="str">
        <f>LEFT(Table2[[#This Row],[تاريخ تاييد]],4)</f>
        <v>1404</v>
      </c>
      <c r="H253" s="11" t="str">
        <f>VLOOKUP(Table2[[#This Row],[شماره فني]],Sheet7!A:C,3,0)</f>
        <v>کلید شیشه بالابر</v>
      </c>
      <c r="I253" s="11" t="str">
        <f>VLOOKUP(Table2[[#This Row],[شماره فني]],Sheet7!A:B,2,0)</f>
        <v>کلید شیشه بالابر جلو چپ سورن</v>
      </c>
      <c r="J253" s="11" t="s">
        <v>910</v>
      </c>
      <c r="K253" s="11" t="s">
        <v>334</v>
      </c>
      <c r="L253" s="11" t="s">
        <v>261</v>
      </c>
      <c r="M253" s="11" t="s">
        <v>261</v>
      </c>
      <c r="N253" s="11" t="s">
        <v>261</v>
      </c>
      <c r="O253" s="11" t="s">
        <v>261</v>
      </c>
      <c r="P253" s="11" t="s">
        <v>261</v>
      </c>
      <c r="Q253" s="11" t="s">
        <v>261</v>
      </c>
      <c r="R253" s="11" t="s">
        <v>961</v>
      </c>
      <c r="S253" s="11" t="s">
        <v>954</v>
      </c>
      <c r="T253" s="11" t="s">
        <v>261</v>
      </c>
      <c r="U253" s="11" t="s">
        <v>552</v>
      </c>
      <c r="V253" s="11" t="s">
        <v>784</v>
      </c>
      <c r="W253" s="11">
        <v>1</v>
      </c>
      <c r="X253" s="11" t="s">
        <v>306</v>
      </c>
      <c r="Y253" s="11" t="s">
        <v>261</v>
      </c>
      <c r="Z253" s="11" t="s">
        <v>261</v>
      </c>
      <c r="AA253" s="11" t="s">
        <v>261</v>
      </c>
      <c r="AB253" s="11" t="s">
        <v>583</v>
      </c>
      <c r="AC253" s="11" t="s">
        <v>261</v>
      </c>
      <c r="AD253" s="11" t="s">
        <v>261</v>
      </c>
      <c r="AE253" s="11" t="s">
        <v>551</v>
      </c>
      <c r="AF253" s="12" t="s">
        <v>261</v>
      </c>
      <c r="AG253" s="11" t="s">
        <v>261</v>
      </c>
    </row>
    <row r="254" spans="1:33" ht="45" x14ac:dyDescent="0.25">
      <c r="A254" s="11">
        <v>1</v>
      </c>
      <c r="B254" s="3" t="s">
        <v>261</v>
      </c>
      <c r="C254" s="11">
        <v>215926</v>
      </c>
      <c r="D254" s="11" t="s">
        <v>916</v>
      </c>
      <c r="E254" s="11" t="str">
        <f>MID(Table2[[#This Row],[تاريخ تاييد]],1,7)</f>
        <v>1404/04</v>
      </c>
      <c r="F254" s="11" t="str">
        <f>MID(Table2[[#This Row],[تاريخ تاييد]],6,2)</f>
        <v>04</v>
      </c>
      <c r="G254" s="11" t="str">
        <f>LEFT(Table2[[#This Row],[تاريخ تاييد]],4)</f>
        <v>1404</v>
      </c>
      <c r="H254" s="11" t="str">
        <f>VLOOKUP(Table2[[#This Row],[شماره فني]],Sheet7!A:C,3,0)</f>
        <v>جلو آمپر</v>
      </c>
      <c r="I254" s="11" t="str">
        <f>VLOOKUP(Table2[[#This Row],[شماره فني]],Sheet7!A:B,2,0)</f>
        <v>جلو آمپرSOREN TC 85 گانه</v>
      </c>
      <c r="J254" s="11" t="s">
        <v>911</v>
      </c>
      <c r="K254" s="11" t="s">
        <v>231</v>
      </c>
      <c r="L254" s="11" t="s">
        <v>261</v>
      </c>
      <c r="M254" s="11" t="s">
        <v>261</v>
      </c>
      <c r="N254" s="11" t="s">
        <v>261</v>
      </c>
      <c r="O254" s="11" t="s">
        <v>261</v>
      </c>
      <c r="P254" s="11" t="s">
        <v>261</v>
      </c>
      <c r="Q254" s="11" t="s">
        <v>261</v>
      </c>
      <c r="R254" s="11" t="s">
        <v>961</v>
      </c>
      <c r="S254" s="11" t="s">
        <v>954</v>
      </c>
      <c r="T254" s="11" t="s">
        <v>261</v>
      </c>
      <c r="U254" s="11" t="s">
        <v>552</v>
      </c>
      <c r="V254" s="11" t="s">
        <v>784</v>
      </c>
      <c r="W254" s="11">
        <v>1</v>
      </c>
      <c r="X254" s="11" t="s">
        <v>32</v>
      </c>
      <c r="Y254" s="11" t="s">
        <v>261</v>
      </c>
      <c r="Z254" s="11" t="s">
        <v>261</v>
      </c>
      <c r="AA254" s="11" t="s">
        <v>261</v>
      </c>
      <c r="AB254" s="11" t="s">
        <v>583</v>
      </c>
      <c r="AC254" s="11" t="s">
        <v>261</v>
      </c>
      <c r="AD254" s="11" t="s">
        <v>261</v>
      </c>
      <c r="AE254" s="11" t="s">
        <v>551</v>
      </c>
      <c r="AF254" s="12" t="s">
        <v>261</v>
      </c>
      <c r="AG254" s="11" t="s">
        <v>261</v>
      </c>
    </row>
    <row r="255" spans="1:33" ht="45" x14ac:dyDescent="0.25">
      <c r="A255" s="11">
        <v>1</v>
      </c>
      <c r="B255" s="3" t="s">
        <v>261</v>
      </c>
      <c r="C255" s="11">
        <v>216126</v>
      </c>
      <c r="D255" s="11" t="s">
        <v>927</v>
      </c>
      <c r="E255" s="11" t="str">
        <f>MID(Table2[[#This Row],[تاريخ تاييد]],1,7)</f>
        <v>1404/04</v>
      </c>
      <c r="F255" s="11" t="str">
        <f>MID(Table2[[#This Row],[تاريخ تاييد]],6,2)</f>
        <v>04</v>
      </c>
      <c r="G255" s="11" t="str">
        <f>LEFT(Table2[[#This Row],[تاريخ تاييد]],4)</f>
        <v>1404</v>
      </c>
      <c r="H255" s="11" t="str">
        <f>VLOOKUP(Table2[[#This Row],[شماره فني]],Sheet7!A:C,3,0)</f>
        <v>جلو آمپر</v>
      </c>
      <c r="I255" s="11" t="str">
        <f>VLOOKUP(Table2[[#This Row],[شماره فني]],Sheet7!A:B,2,0)</f>
        <v>جلو آمپرSOREN TC 85 گانه</v>
      </c>
      <c r="J255" s="11" t="s">
        <v>932</v>
      </c>
      <c r="K255" s="11" t="s">
        <v>729</v>
      </c>
      <c r="L255" s="11" t="s">
        <v>261</v>
      </c>
      <c r="M255" s="11" t="s">
        <v>261</v>
      </c>
      <c r="N255" s="11" t="s">
        <v>261</v>
      </c>
      <c r="O255" s="11" t="s">
        <v>261</v>
      </c>
      <c r="P255" s="11" t="s">
        <v>261</v>
      </c>
      <c r="Q255" s="11" t="s">
        <v>261</v>
      </c>
      <c r="R255" s="11" t="s">
        <v>961</v>
      </c>
      <c r="S255" s="11" t="s">
        <v>954</v>
      </c>
      <c r="T255" s="11" t="s">
        <v>261</v>
      </c>
      <c r="U255" s="11" t="s">
        <v>552</v>
      </c>
      <c r="V255" s="11" t="s">
        <v>784</v>
      </c>
      <c r="W255" s="11">
        <v>3</v>
      </c>
      <c r="X255" s="11" t="s">
        <v>32</v>
      </c>
      <c r="Y255" s="11" t="s">
        <v>261</v>
      </c>
      <c r="Z255" s="11" t="s">
        <v>261</v>
      </c>
      <c r="AA255" s="11" t="s">
        <v>261</v>
      </c>
      <c r="AB255" s="11" t="s">
        <v>583</v>
      </c>
      <c r="AC255" s="11" t="s">
        <v>261</v>
      </c>
      <c r="AD255" s="11" t="s">
        <v>261</v>
      </c>
      <c r="AE255" s="11" t="s">
        <v>551</v>
      </c>
      <c r="AF255" s="12" t="s">
        <v>261</v>
      </c>
      <c r="AG255" s="11" t="s">
        <v>261</v>
      </c>
    </row>
    <row r="256" spans="1:33" ht="30" x14ac:dyDescent="0.25">
      <c r="A256" s="11">
        <v>1</v>
      </c>
      <c r="B256" s="3" t="s">
        <v>261</v>
      </c>
      <c r="C256" s="11">
        <v>216464</v>
      </c>
      <c r="D256" s="11" t="s">
        <v>928</v>
      </c>
      <c r="E256" s="11" t="str">
        <f>MID(Table2[[#This Row],[تاريخ تاييد]],1,7)</f>
        <v>1404/05</v>
      </c>
      <c r="F256" s="11" t="str">
        <f>MID(Table2[[#This Row],[تاريخ تاييد]],6,2)</f>
        <v>05</v>
      </c>
      <c r="G256" s="11" t="str">
        <f>LEFT(Table2[[#This Row],[تاريخ تاييد]],4)</f>
        <v>1404</v>
      </c>
      <c r="H256" s="11" t="str">
        <f>VLOOKUP(Table2[[#This Row],[شماره فني]],Sheet7!A:C,3,0)</f>
        <v>NOD</v>
      </c>
      <c r="I256" s="11" t="str">
        <f>VLOOKUP(Table2[[#This Row],[شماره فني]],Sheet7!A:B,2,0)</f>
        <v>NBCM 207</v>
      </c>
      <c r="J256" s="11" t="s">
        <v>933</v>
      </c>
      <c r="K256" s="11" t="s">
        <v>334</v>
      </c>
      <c r="L256" s="11" t="s">
        <v>22</v>
      </c>
      <c r="M256" s="11" t="s">
        <v>940</v>
      </c>
      <c r="N256" s="11" t="s">
        <v>261</v>
      </c>
      <c r="O256" s="11" t="s">
        <v>261</v>
      </c>
      <c r="P256" s="11" t="s">
        <v>261</v>
      </c>
      <c r="Q256" s="11" t="s">
        <v>261</v>
      </c>
      <c r="R256" s="11" t="s">
        <v>953</v>
      </c>
      <c r="S256" s="11" t="s">
        <v>954</v>
      </c>
      <c r="T256" s="11" t="s">
        <v>818</v>
      </c>
      <c r="U256" s="11" t="s">
        <v>824</v>
      </c>
      <c r="V256" s="11" t="s">
        <v>583</v>
      </c>
      <c r="W256" s="11">
        <v>1</v>
      </c>
      <c r="X256" s="11" t="s">
        <v>19</v>
      </c>
      <c r="Y256" s="11" t="s">
        <v>261</v>
      </c>
      <c r="Z256" s="11" t="s">
        <v>940</v>
      </c>
      <c r="AA256" s="11" t="s">
        <v>66</v>
      </c>
      <c r="AB256" s="11" t="s">
        <v>583</v>
      </c>
      <c r="AC256" s="11" t="s">
        <v>261</v>
      </c>
      <c r="AD256" s="11" t="s">
        <v>261</v>
      </c>
      <c r="AE256" s="11" t="s">
        <v>551</v>
      </c>
      <c r="AF256" s="12" t="s">
        <v>977</v>
      </c>
      <c r="AG256" s="11" t="s">
        <v>261</v>
      </c>
    </row>
    <row r="257" spans="1:33" ht="60" x14ac:dyDescent="0.25">
      <c r="A257" s="11">
        <v>1</v>
      </c>
      <c r="B257" s="3" t="s">
        <v>261</v>
      </c>
      <c r="C257" s="11">
        <v>216497</v>
      </c>
      <c r="D257" s="11" t="s">
        <v>929</v>
      </c>
      <c r="E257" s="11" t="str">
        <f>MID(Table2[[#This Row],[تاريخ تاييد]],1,7)</f>
        <v>1404/05</v>
      </c>
      <c r="F257" s="11" t="str">
        <f>MID(Table2[[#This Row],[تاريخ تاييد]],6,2)</f>
        <v>05</v>
      </c>
      <c r="G257" s="11" t="str">
        <f>LEFT(Table2[[#This Row],[تاريخ تاييد]],4)</f>
        <v>1404</v>
      </c>
      <c r="H257" s="11" t="str">
        <f>VLOOKUP(Table2[[#This Row],[شماره فني]],Sheet7!A:C,3,0)</f>
        <v>MFD</v>
      </c>
      <c r="I257" s="11" t="str">
        <f>VLOOKUP(Table2[[#This Row],[شماره فني]],Sheet7!A:B,2,0)</f>
        <v>MFD RUNNA</v>
      </c>
      <c r="J257" s="11" t="s">
        <v>934</v>
      </c>
      <c r="K257" s="11" t="s">
        <v>231</v>
      </c>
      <c r="L257" s="11" t="s">
        <v>261</v>
      </c>
      <c r="M257" s="11" t="s">
        <v>261</v>
      </c>
      <c r="N257" s="11" t="s">
        <v>261</v>
      </c>
      <c r="O257" s="11" t="s">
        <v>261</v>
      </c>
      <c r="P257" s="11" t="s">
        <v>261</v>
      </c>
      <c r="Q257" s="11" t="s">
        <v>261</v>
      </c>
      <c r="R257" s="11" t="s">
        <v>261</v>
      </c>
      <c r="S257" s="11" t="s">
        <v>261</v>
      </c>
      <c r="T257" s="11" t="s">
        <v>261</v>
      </c>
      <c r="U257" s="11" t="s">
        <v>552</v>
      </c>
      <c r="V257" s="11" t="s">
        <v>784</v>
      </c>
      <c r="W257" s="11">
        <v>1</v>
      </c>
      <c r="X257" s="11" t="s">
        <v>121</v>
      </c>
      <c r="Y257" s="11" t="s">
        <v>261</v>
      </c>
      <c r="Z257" s="11" t="s">
        <v>261</v>
      </c>
      <c r="AA257" s="11" t="s">
        <v>261</v>
      </c>
      <c r="AB257" s="11" t="s">
        <v>583</v>
      </c>
      <c r="AC257" s="11" t="s">
        <v>261</v>
      </c>
      <c r="AD257" s="11" t="s">
        <v>261</v>
      </c>
      <c r="AE257" s="11" t="s">
        <v>551</v>
      </c>
      <c r="AF257" s="12" t="s">
        <v>261</v>
      </c>
      <c r="AG257" s="11" t="s">
        <v>261</v>
      </c>
    </row>
    <row r="258" spans="1:33" ht="30" x14ac:dyDescent="0.25">
      <c r="A258" s="11">
        <v>1</v>
      </c>
      <c r="B258" s="3" t="s">
        <v>261</v>
      </c>
      <c r="C258" s="11">
        <v>216768</v>
      </c>
      <c r="D258" s="11" t="s">
        <v>930</v>
      </c>
      <c r="E258" s="11" t="str">
        <f>MID(Table2[[#This Row],[تاريخ تاييد]],1,7)</f>
        <v>1404/05</v>
      </c>
      <c r="F258" s="11" t="str">
        <f>MID(Table2[[#This Row],[تاريخ تاييد]],6,2)</f>
        <v>05</v>
      </c>
      <c r="G258" s="11" t="str">
        <f>LEFT(Table2[[#This Row],[تاريخ تاييد]],4)</f>
        <v>1404</v>
      </c>
      <c r="H258" s="11" t="str">
        <f>VLOOKUP(Table2[[#This Row],[شماره فني]],Sheet7!A:C,3,0)</f>
        <v>NOD</v>
      </c>
      <c r="I258" s="11" t="str">
        <f>VLOOKUP(Table2[[#This Row],[شماره فني]],Sheet7!A:B,2,0)</f>
        <v>NBCM TARA SAL</v>
      </c>
      <c r="J258" s="11" t="s">
        <v>935</v>
      </c>
      <c r="K258" s="11" t="s">
        <v>937</v>
      </c>
      <c r="L258" s="11" t="s">
        <v>22</v>
      </c>
      <c r="M258" s="11" t="s">
        <v>1016</v>
      </c>
      <c r="N258" s="11" t="s">
        <v>261</v>
      </c>
      <c r="O258" s="11" t="s">
        <v>261</v>
      </c>
      <c r="P258" s="11" t="s">
        <v>261</v>
      </c>
      <c r="Q258" s="11" t="s">
        <v>261</v>
      </c>
      <c r="R258" s="11" t="s">
        <v>1023</v>
      </c>
      <c r="S258" s="11" t="s">
        <v>1024</v>
      </c>
      <c r="T258" s="11" t="s">
        <v>818</v>
      </c>
      <c r="U258" s="11" t="s">
        <v>824</v>
      </c>
      <c r="V258" s="11" t="s">
        <v>1054</v>
      </c>
      <c r="W258" s="11">
        <v>1</v>
      </c>
      <c r="X258" s="11" t="s">
        <v>95</v>
      </c>
      <c r="Y258" s="11" t="s">
        <v>261</v>
      </c>
      <c r="Z258" s="11" t="s">
        <v>261</v>
      </c>
      <c r="AA258" s="11" t="s">
        <v>261</v>
      </c>
      <c r="AB258" s="11" t="s">
        <v>29</v>
      </c>
      <c r="AC258" s="11" t="s">
        <v>261</v>
      </c>
      <c r="AD258" s="11" t="s">
        <v>261</v>
      </c>
      <c r="AE258" s="11" t="s">
        <v>551</v>
      </c>
      <c r="AF258" s="12" t="s">
        <v>261</v>
      </c>
      <c r="AG258" s="11" t="s">
        <v>261</v>
      </c>
    </row>
    <row r="259" spans="1:33" ht="45" x14ac:dyDescent="0.25">
      <c r="A259" s="11">
        <v>1</v>
      </c>
      <c r="B259" s="3" t="s">
        <v>261</v>
      </c>
      <c r="C259" s="11">
        <v>216879</v>
      </c>
      <c r="D259" s="11" t="s">
        <v>931</v>
      </c>
      <c r="E259" s="11" t="str">
        <f>MID(Table2[[#This Row],[تاريخ تاييد]],1,7)</f>
        <v>1404/05</v>
      </c>
      <c r="F259" s="11" t="str">
        <f>MID(Table2[[#This Row],[تاريخ تاييد]],6,2)</f>
        <v>05</v>
      </c>
      <c r="G259" s="11" t="str">
        <f>LEFT(Table2[[#This Row],[تاريخ تاييد]],4)</f>
        <v>1404</v>
      </c>
      <c r="H259" s="11" t="str">
        <f>VLOOKUP(Table2[[#This Row],[شماره فني]],Sheet7!A:C,3,0)</f>
        <v>جلو آمپر</v>
      </c>
      <c r="I259" s="11" t="str">
        <f>VLOOKUP(Table2[[#This Row],[شماره فني]],Sheet7!A:B,2,0)</f>
        <v>جلو آمپر دنا اتوماتیک SBR</v>
      </c>
      <c r="J259" s="11" t="s">
        <v>936</v>
      </c>
      <c r="K259" s="11" t="s">
        <v>938</v>
      </c>
      <c r="L259" s="11" t="s">
        <v>23</v>
      </c>
      <c r="M259" s="11" t="s">
        <v>955</v>
      </c>
      <c r="N259" s="11" t="s">
        <v>261</v>
      </c>
      <c r="O259" s="11" t="s">
        <v>261</v>
      </c>
      <c r="P259" s="11" t="s">
        <v>261</v>
      </c>
      <c r="Q259" s="11" t="s">
        <v>261</v>
      </c>
      <c r="R259" s="11" t="s">
        <v>956</v>
      </c>
      <c r="S259" s="11" t="s">
        <v>957</v>
      </c>
      <c r="T259" s="11" t="s">
        <v>817</v>
      </c>
      <c r="U259" s="11" t="s">
        <v>1178</v>
      </c>
      <c r="V259" s="11" t="s">
        <v>958</v>
      </c>
      <c r="W259" s="11">
        <v>1</v>
      </c>
      <c r="X259" s="11" t="s">
        <v>843</v>
      </c>
      <c r="Y259" s="11" t="s">
        <v>261</v>
      </c>
      <c r="Z259" s="11" t="s">
        <v>955</v>
      </c>
      <c r="AA259" s="11" t="s">
        <v>66</v>
      </c>
      <c r="AB259" s="11" t="s">
        <v>27</v>
      </c>
      <c r="AC259" s="11" t="s">
        <v>960</v>
      </c>
      <c r="AD259" s="11" t="s">
        <v>261</v>
      </c>
      <c r="AE259" s="11" t="s">
        <v>551</v>
      </c>
      <c r="AF259" s="12" t="s">
        <v>261</v>
      </c>
      <c r="AG259" s="11" t="s">
        <v>261</v>
      </c>
    </row>
    <row r="260" spans="1:33" ht="30" x14ac:dyDescent="0.25">
      <c r="A260" s="11">
        <v>1</v>
      </c>
      <c r="B260" s="3" t="s">
        <v>261</v>
      </c>
      <c r="C260" s="11">
        <v>216992</v>
      </c>
      <c r="D260" s="11" t="s">
        <v>939</v>
      </c>
      <c r="E260" s="11" t="str">
        <f>MID(Table2[[#This Row],[تاريخ تاييد]],1,7)</f>
        <v>1404/05</v>
      </c>
      <c r="F260" s="11" t="str">
        <f>MID(Table2[[#This Row],[تاريخ تاييد]],6,2)</f>
        <v>05</v>
      </c>
      <c r="G260" s="11" t="str">
        <f>LEFT(Table2[[#This Row],[تاريخ تاييد]],4)</f>
        <v>1404</v>
      </c>
      <c r="H260" s="11" t="str">
        <f>VLOOKUP(Table2[[#This Row],[شماره فني]],Sheet7!A:C,3,0)</f>
        <v>MFD</v>
      </c>
      <c r="I260" s="11" t="str">
        <f>VLOOKUP(Table2[[#This Row],[شماره فني]],Sheet7!A:B,2,0)</f>
        <v>MFD RUNNA</v>
      </c>
      <c r="J260" s="11" t="s">
        <v>944</v>
      </c>
      <c r="K260" s="11" t="s">
        <v>725</v>
      </c>
      <c r="L260" s="11" t="s">
        <v>261</v>
      </c>
      <c r="M260" s="11" t="s">
        <v>261</v>
      </c>
      <c r="N260" s="11" t="s">
        <v>261</v>
      </c>
      <c r="O260" s="11" t="s">
        <v>261</v>
      </c>
      <c r="P260" s="11" t="s">
        <v>261</v>
      </c>
      <c r="Q260" s="11" t="s">
        <v>261</v>
      </c>
      <c r="R260" s="11" t="s">
        <v>261</v>
      </c>
      <c r="S260" s="11" t="s">
        <v>261</v>
      </c>
      <c r="T260" s="11" t="s">
        <v>261</v>
      </c>
      <c r="U260" s="11" t="s">
        <v>552</v>
      </c>
      <c r="V260" s="11" t="s">
        <v>784</v>
      </c>
      <c r="W260" s="11">
        <v>10</v>
      </c>
      <c r="X260" s="11" t="s">
        <v>121</v>
      </c>
      <c r="Y260" s="11" t="s">
        <v>261</v>
      </c>
      <c r="Z260" s="11" t="s">
        <v>261</v>
      </c>
      <c r="AA260" s="11" t="s">
        <v>261</v>
      </c>
      <c r="AB260" s="11" t="s">
        <v>583</v>
      </c>
      <c r="AC260" s="11" t="s">
        <v>261</v>
      </c>
      <c r="AD260" s="11" t="s">
        <v>261</v>
      </c>
      <c r="AE260" s="11" t="s">
        <v>551</v>
      </c>
      <c r="AF260" s="12" t="s">
        <v>261</v>
      </c>
      <c r="AG260" s="11" t="s">
        <v>261</v>
      </c>
    </row>
    <row r="261" spans="1:33" ht="30" x14ac:dyDescent="0.25">
      <c r="A261" s="11">
        <v>1</v>
      </c>
      <c r="B261" s="3" t="s">
        <v>261</v>
      </c>
      <c r="C261" s="11">
        <v>217015</v>
      </c>
      <c r="D261" s="11" t="s">
        <v>940</v>
      </c>
      <c r="E261" s="11" t="str">
        <f>MID(Table2[[#This Row],[تاريخ تاييد]],1,7)</f>
        <v>1404/05</v>
      </c>
      <c r="F261" s="11" t="str">
        <f>MID(Table2[[#This Row],[تاريخ تاييد]],6,2)</f>
        <v>05</v>
      </c>
      <c r="G261" s="11" t="str">
        <f>LEFT(Table2[[#This Row],[تاريخ تاييد]],4)</f>
        <v>1404</v>
      </c>
      <c r="H261" s="11" t="str">
        <f>VLOOKUP(Table2[[#This Row],[شماره فني]],Sheet7!A:C,3,0)</f>
        <v>جلو آمپر</v>
      </c>
      <c r="I261" s="11" t="str">
        <f>VLOOKUP(Table2[[#This Row],[شماره فني]],Sheet7!A:B,2,0)</f>
        <v>جلو آمپر207  معمولی85 گانه</v>
      </c>
      <c r="J261" s="11" t="s">
        <v>945</v>
      </c>
      <c r="K261" s="11" t="s">
        <v>334</v>
      </c>
      <c r="L261" s="11" t="s">
        <v>261</v>
      </c>
      <c r="M261" s="11" t="s">
        <v>261</v>
      </c>
      <c r="N261" s="11" t="s">
        <v>261</v>
      </c>
      <c r="O261" s="11" t="s">
        <v>261</v>
      </c>
      <c r="P261" s="11" t="s">
        <v>261</v>
      </c>
      <c r="Q261" s="11" t="s">
        <v>261</v>
      </c>
      <c r="R261" s="11" t="s">
        <v>261</v>
      </c>
      <c r="S261" s="11" t="s">
        <v>261</v>
      </c>
      <c r="T261" s="11" t="s">
        <v>261</v>
      </c>
      <c r="U261" s="11" t="s">
        <v>552</v>
      </c>
      <c r="V261" s="11" t="s">
        <v>784</v>
      </c>
      <c r="W261" s="11">
        <v>1</v>
      </c>
      <c r="X261" s="11" t="s">
        <v>30</v>
      </c>
      <c r="Y261" s="11" t="s">
        <v>261</v>
      </c>
      <c r="Z261" s="11" t="s">
        <v>261</v>
      </c>
      <c r="AA261" s="11" t="s">
        <v>261</v>
      </c>
      <c r="AB261" s="11" t="s">
        <v>583</v>
      </c>
      <c r="AC261" s="11" t="s">
        <v>261</v>
      </c>
      <c r="AD261" s="11" t="s">
        <v>261</v>
      </c>
      <c r="AE261" s="11" t="s">
        <v>551</v>
      </c>
      <c r="AF261" s="12" t="s">
        <v>261</v>
      </c>
      <c r="AG261" s="11" t="s">
        <v>261</v>
      </c>
    </row>
    <row r="262" spans="1:33" ht="30" x14ac:dyDescent="0.25">
      <c r="A262" s="11">
        <v>1</v>
      </c>
      <c r="B262" s="3" t="s">
        <v>261</v>
      </c>
      <c r="C262" s="11">
        <v>217182</v>
      </c>
      <c r="D262" s="11" t="s">
        <v>941</v>
      </c>
      <c r="E262" s="11" t="str">
        <f>MID(Table2[[#This Row],[تاريخ تاييد]],1,7)</f>
        <v>1404/05</v>
      </c>
      <c r="F262" s="11" t="str">
        <f>MID(Table2[[#This Row],[تاريخ تاييد]],6,2)</f>
        <v>05</v>
      </c>
      <c r="G262" s="11" t="str">
        <f>LEFT(Table2[[#This Row],[تاريخ تاييد]],4)</f>
        <v>1404</v>
      </c>
      <c r="H262" s="11" t="str">
        <f>VLOOKUP(Table2[[#This Row],[شماره فني]],Sheet7!A:C,3,0)</f>
        <v>کلید شیشه بالابر</v>
      </c>
      <c r="I262" s="11" t="str">
        <f>VLOOKUP(Table2[[#This Row],[شماره فني]],Sheet7!A:B,2,0)</f>
        <v>کلید شیشه بالابر عقب راست سورن</v>
      </c>
      <c r="J262" s="11" t="s">
        <v>946</v>
      </c>
      <c r="K262" s="11" t="s">
        <v>723</v>
      </c>
      <c r="L262" s="11" t="s">
        <v>261</v>
      </c>
      <c r="M262" s="11" t="s">
        <v>261</v>
      </c>
      <c r="N262" s="11" t="s">
        <v>261</v>
      </c>
      <c r="O262" s="11" t="s">
        <v>261</v>
      </c>
      <c r="P262" s="11" t="s">
        <v>261</v>
      </c>
      <c r="Q262" s="11" t="s">
        <v>261</v>
      </c>
      <c r="R262" s="11" t="s">
        <v>261</v>
      </c>
      <c r="S262" s="11" t="s">
        <v>261</v>
      </c>
      <c r="T262" s="11" t="s">
        <v>261</v>
      </c>
      <c r="U262" s="11" t="s">
        <v>552</v>
      </c>
      <c r="V262" s="11" t="s">
        <v>552</v>
      </c>
      <c r="W262" s="11">
        <v>1</v>
      </c>
      <c r="X262" s="11" t="s">
        <v>388</v>
      </c>
      <c r="Y262" s="11" t="s">
        <v>261</v>
      </c>
      <c r="Z262" s="11" t="s">
        <v>261</v>
      </c>
      <c r="AA262" s="11" t="s">
        <v>261</v>
      </c>
      <c r="AB262" s="11" t="s">
        <v>583</v>
      </c>
      <c r="AC262" s="11" t="s">
        <v>261</v>
      </c>
      <c r="AD262" s="11" t="s">
        <v>261</v>
      </c>
      <c r="AE262" s="11" t="s">
        <v>552</v>
      </c>
      <c r="AF262" s="12" t="s">
        <v>261</v>
      </c>
      <c r="AG262" s="11" t="s">
        <v>261</v>
      </c>
    </row>
    <row r="263" spans="1:33" ht="30" x14ac:dyDescent="0.25">
      <c r="A263" s="11">
        <v>1</v>
      </c>
      <c r="B263" s="3" t="s">
        <v>261</v>
      </c>
      <c r="C263" s="11">
        <v>217286</v>
      </c>
      <c r="D263" s="11" t="s">
        <v>942</v>
      </c>
      <c r="E263" s="11" t="str">
        <f>MID(Table2[[#This Row],[تاريخ تاييد]],1,7)</f>
        <v>1404/05</v>
      </c>
      <c r="F263" s="11" t="str">
        <f>MID(Table2[[#This Row],[تاريخ تاييد]],6,2)</f>
        <v>05</v>
      </c>
      <c r="G263" s="11" t="str">
        <f>LEFT(Table2[[#This Row],[تاريخ تاييد]],4)</f>
        <v>1404</v>
      </c>
      <c r="H263" s="11" t="str">
        <f>VLOOKUP(Table2[[#This Row],[شماره فني]],Sheet7!A:C,3,0)</f>
        <v>NOD</v>
      </c>
      <c r="I263" s="11" t="str">
        <f>VLOOKUP(Table2[[#This Row],[شماره فني]],Sheet7!A:B,2,0)</f>
        <v>NBCM SOREN</v>
      </c>
      <c r="J263" s="11" t="s">
        <v>947</v>
      </c>
      <c r="K263" s="11" t="s">
        <v>334</v>
      </c>
      <c r="L263" s="11" t="s">
        <v>261</v>
      </c>
      <c r="M263" s="11" t="s">
        <v>261</v>
      </c>
      <c r="N263" s="11" t="s">
        <v>261</v>
      </c>
      <c r="O263" s="11" t="s">
        <v>261</v>
      </c>
      <c r="P263" s="11" t="s">
        <v>261</v>
      </c>
      <c r="Q263" s="11" t="s">
        <v>261</v>
      </c>
      <c r="R263" s="11" t="s">
        <v>261</v>
      </c>
      <c r="S263" s="11" t="s">
        <v>261</v>
      </c>
      <c r="T263" s="11" t="s">
        <v>261</v>
      </c>
      <c r="U263" s="11" t="s">
        <v>552</v>
      </c>
      <c r="V263" s="11" t="s">
        <v>784</v>
      </c>
      <c r="W263" s="11">
        <v>1</v>
      </c>
      <c r="X263" s="11" t="s">
        <v>208</v>
      </c>
      <c r="Y263" s="11" t="s">
        <v>261</v>
      </c>
      <c r="Z263" s="11" t="s">
        <v>261</v>
      </c>
      <c r="AA263" s="11" t="s">
        <v>261</v>
      </c>
      <c r="AB263" s="11" t="s">
        <v>583</v>
      </c>
      <c r="AC263" s="11" t="s">
        <v>261</v>
      </c>
      <c r="AD263" s="11" t="s">
        <v>261</v>
      </c>
      <c r="AE263" s="11" t="s">
        <v>551</v>
      </c>
      <c r="AF263" s="12" t="s">
        <v>261</v>
      </c>
      <c r="AG263" s="11" t="s">
        <v>261</v>
      </c>
    </row>
    <row r="264" spans="1:33" ht="30" x14ac:dyDescent="0.25">
      <c r="A264" s="11">
        <v>1</v>
      </c>
      <c r="B264" s="3" t="s">
        <v>261</v>
      </c>
      <c r="C264" s="11">
        <v>217397</v>
      </c>
      <c r="D264" s="11" t="s">
        <v>943</v>
      </c>
      <c r="E264" s="11" t="str">
        <f>MID(Table2[[#This Row],[تاريخ تاييد]],1,7)</f>
        <v>1404/05</v>
      </c>
      <c r="F264" s="11" t="str">
        <f>MID(Table2[[#This Row],[تاريخ تاييد]],6,2)</f>
        <v>05</v>
      </c>
      <c r="G264" s="11" t="str">
        <f>LEFT(Table2[[#This Row],[تاريخ تاييد]],4)</f>
        <v>1404</v>
      </c>
      <c r="H264" s="11" t="str">
        <f>VLOOKUP(Table2[[#This Row],[شماره فني]],Sheet7!A:C,3,0)</f>
        <v>جلو آمپر</v>
      </c>
      <c r="I264" s="11" t="str">
        <f>VLOOKUP(Table2[[#This Row],[شماره فني]],Sheet7!A:B,2,0)</f>
        <v>جلو آمپر تارا دستی</v>
      </c>
      <c r="J264" s="11" t="s">
        <v>948</v>
      </c>
      <c r="K264" s="11" t="s">
        <v>231</v>
      </c>
      <c r="L264" s="11" t="s">
        <v>22</v>
      </c>
      <c r="M264" s="11" t="s">
        <v>1016</v>
      </c>
      <c r="N264" s="11" t="s">
        <v>261</v>
      </c>
      <c r="O264" s="11" t="s">
        <v>261</v>
      </c>
      <c r="P264" s="11" t="s">
        <v>261</v>
      </c>
      <c r="Q264" s="11" t="s">
        <v>261</v>
      </c>
      <c r="R264" s="11" t="s">
        <v>486</v>
      </c>
      <c r="S264" s="11" t="s">
        <v>261</v>
      </c>
      <c r="T264" s="11" t="s">
        <v>231</v>
      </c>
      <c r="U264" s="11" t="s">
        <v>797</v>
      </c>
      <c r="V264" s="11" t="s">
        <v>552</v>
      </c>
      <c r="W264" s="11">
        <v>1</v>
      </c>
      <c r="X264" s="11" t="s">
        <v>97</v>
      </c>
      <c r="Y264" s="11" t="s">
        <v>261</v>
      </c>
      <c r="Z264" s="11" t="s">
        <v>261</v>
      </c>
      <c r="AA264" s="11" t="s">
        <v>261</v>
      </c>
      <c r="AB264" s="11" t="s">
        <v>28</v>
      </c>
      <c r="AC264" s="11" t="s">
        <v>261</v>
      </c>
      <c r="AD264" s="11" t="s">
        <v>261</v>
      </c>
      <c r="AE264" s="11" t="s">
        <v>552</v>
      </c>
      <c r="AF264" s="12" t="s">
        <v>261</v>
      </c>
      <c r="AG264" s="11" t="s">
        <v>261</v>
      </c>
    </row>
    <row r="265" spans="1:33" ht="30" x14ac:dyDescent="0.25">
      <c r="A265" s="11">
        <v>1</v>
      </c>
      <c r="B265" s="3" t="s">
        <v>261</v>
      </c>
      <c r="C265" s="11">
        <v>217569</v>
      </c>
      <c r="D265" s="11" t="s">
        <v>992</v>
      </c>
      <c r="E265" s="11" t="str">
        <f>MID(Table2[[#This Row],[تاريخ تاييد]],1,7)</f>
        <v>1404/05</v>
      </c>
      <c r="F265" s="11" t="str">
        <f>MID(Table2[[#This Row],[تاريخ تاييد]],6,2)</f>
        <v>05</v>
      </c>
      <c r="G265" s="11" t="str">
        <f>LEFT(Table2[[#This Row],[تاريخ تاييد]],4)</f>
        <v>1404</v>
      </c>
      <c r="H265" s="11" t="str">
        <f>VLOOKUP(Table2[[#This Row],[شماره فني]],Sheet7!A:C,3,0)</f>
        <v>NOD</v>
      </c>
      <c r="I265" s="11" t="str">
        <f>VLOOKUP(Table2[[#This Row],[شماره فني]],Sheet7!A:B,2,0)</f>
        <v>NBCM TARA SAL</v>
      </c>
      <c r="J265" s="11" t="s">
        <v>995</v>
      </c>
      <c r="K265" s="11" t="s">
        <v>824</v>
      </c>
      <c r="L265" s="11" t="s">
        <v>22</v>
      </c>
      <c r="M265" s="11" t="s">
        <v>1016</v>
      </c>
      <c r="N265" s="11" t="s">
        <v>261</v>
      </c>
      <c r="O265" s="11" t="s">
        <v>261</v>
      </c>
      <c r="P265" s="11" t="s">
        <v>261</v>
      </c>
      <c r="Q265" s="11" t="s">
        <v>261</v>
      </c>
      <c r="R265" s="11" t="s">
        <v>1017</v>
      </c>
      <c r="S265" s="11" t="s">
        <v>1018</v>
      </c>
      <c r="T265" s="11" t="s">
        <v>830</v>
      </c>
      <c r="U265" s="11" t="s">
        <v>824</v>
      </c>
      <c r="V265" s="11" t="s">
        <v>561</v>
      </c>
      <c r="W265" s="11">
        <v>1</v>
      </c>
      <c r="X265" s="11" t="s">
        <v>95</v>
      </c>
      <c r="Y265" s="11" t="s">
        <v>261</v>
      </c>
      <c r="Z265" s="11" t="s">
        <v>261</v>
      </c>
      <c r="AA265" s="11" t="s">
        <v>261</v>
      </c>
      <c r="AB265" s="11" t="s">
        <v>28</v>
      </c>
      <c r="AC265" s="11" t="s">
        <v>261</v>
      </c>
      <c r="AD265" s="11" t="s">
        <v>261</v>
      </c>
      <c r="AE265" s="11" t="s">
        <v>551</v>
      </c>
      <c r="AF265" s="12" t="s">
        <v>261</v>
      </c>
      <c r="AG265" s="11" t="s">
        <v>261</v>
      </c>
    </row>
    <row r="266" spans="1:33" ht="30" x14ac:dyDescent="0.25">
      <c r="A266" s="11">
        <v>1</v>
      </c>
      <c r="B266" s="3" t="s">
        <v>261</v>
      </c>
      <c r="C266" s="11">
        <v>217638</v>
      </c>
      <c r="D266" s="11" t="s">
        <v>993</v>
      </c>
      <c r="E266" s="11" t="str">
        <f>MID(Table2[[#This Row],[تاريخ تاييد]],1,7)</f>
        <v>1404/05</v>
      </c>
      <c r="F266" s="11" t="str">
        <f>MID(Table2[[#This Row],[تاريخ تاييد]],6,2)</f>
        <v>05</v>
      </c>
      <c r="G266" s="11" t="str">
        <f>LEFT(Table2[[#This Row],[تاريخ تاييد]],4)</f>
        <v>1404</v>
      </c>
      <c r="H266" s="11" t="str">
        <f>VLOOKUP(Table2[[#This Row],[شماره فني]],Sheet7!A:C,3,0)</f>
        <v>جلو آمپر</v>
      </c>
      <c r="I266" s="11" t="str">
        <f>VLOOKUP(Table2[[#This Row],[شماره فني]],Sheet7!A:B,2,0)</f>
        <v>جلو آمپرSOREN TC 85 گانه</v>
      </c>
      <c r="J266" s="11" t="s">
        <v>996</v>
      </c>
      <c r="K266" s="11" t="s">
        <v>1135</v>
      </c>
      <c r="L266" s="11" t="s">
        <v>261</v>
      </c>
      <c r="M266" s="11" t="s">
        <v>261</v>
      </c>
      <c r="N266" s="11" t="s">
        <v>261</v>
      </c>
      <c r="O266" s="11" t="s">
        <v>261</v>
      </c>
      <c r="P266" s="11" t="s">
        <v>261</v>
      </c>
      <c r="Q266" s="11" t="s">
        <v>261</v>
      </c>
      <c r="R266" s="11" t="s">
        <v>261</v>
      </c>
      <c r="S266" s="11" t="s">
        <v>261</v>
      </c>
      <c r="T266" s="11" t="s">
        <v>261</v>
      </c>
      <c r="U266" s="11" t="s">
        <v>552</v>
      </c>
      <c r="V266" s="11" t="s">
        <v>784</v>
      </c>
      <c r="W266" s="11">
        <v>4</v>
      </c>
      <c r="X266" s="11" t="s">
        <v>32</v>
      </c>
      <c r="Y266" s="11" t="s">
        <v>261</v>
      </c>
      <c r="Z266" s="11" t="s">
        <v>261</v>
      </c>
      <c r="AA266" s="11" t="s">
        <v>261</v>
      </c>
      <c r="AB266" s="11" t="s">
        <v>583</v>
      </c>
      <c r="AC266" s="11" t="s">
        <v>261</v>
      </c>
      <c r="AD266" s="11" t="s">
        <v>261</v>
      </c>
      <c r="AE266" s="11" t="s">
        <v>551</v>
      </c>
      <c r="AF266" s="12" t="s">
        <v>261</v>
      </c>
      <c r="AG266" s="11" t="s">
        <v>261</v>
      </c>
    </row>
    <row r="267" spans="1:33" ht="30" x14ac:dyDescent="0.25">
      <c r="A267" s="11">
        <v>1</v>
      </c>
      <c r="B267" s="3" t="s">
        <v>261</v>
      </c>
      <c r="C267" s="11">
        <v>217962</v>
      </c>
      <c r="D267" s="11" t="s">
        <v>994</v>
      </c>
      <c r="E267" s="11" t="str">
        <f>MID(Table2[[#This Row],[تاريخ تاييد]],1,7)</f>
        <v>1404/06</v>
      </c>
      <c r="F267" s="11" t="str">
        <f>MID(Table2[[#This Row],[تاريخ تاييد]],6,2)</f>
        <v>06</v>
      </c>
      <c r="G267" s="11" t="str">
        <f>LEFT(Table2[[#This Row],[تاريخ تاييد]],4)</f>
        <v>1404</v>
      </c>
      <c r="H267" s="11" t="str">
        <f>VLOOKUP(Table2[[#This Row],[شماره فني]],Sheet7!A:C,3,0)</f>
        <v>کلید شیشه بالابر</v>
      </c>
      <c r="I267" s="11" t="str">
        <f>VLOOKUP(Table2[[#This Row],[شماره فني]],Sheet7!A:B,2,0)</f>
        <v>کلید شیشه بالابر جلو چپ سورن</v>
      </c>
      <c r="J267" s="11" t="s">
        <v>997</v>
      </c>
      <c r="K267" s="11" t="s">
        <v>723</v>
      </c>
      <c r="L267" s="11" t="s">
        <v>261</v>
      </c>
      <c r="M267" s="11" t="s">
        <v>261</v>
      </c>
      <c r="N267" s="11" t="s">
        <v>261</v>
      </c>
      <c r="O267" s="11" t="s">
        <v>261</v>
      </c>
      <c r="P267" s="11" t="s">
        <v>261</v>
      </c>
      <c r="Q267" s="11" t="s">
        <v>261</v>
      </c>
      <c r="R267" s="11" t="s">
        <v>261</v>
      </c>
      <c r="S267" s="11" t="s">
        <v>261</v>
      </c>
      <c r="T267" s="11" t="s">
        <v>261</v>
      </c>
      <c r="U267" s="11" t="s">
        <v>552</v>
      </c>
      <c r="V267" s="11" t="s">
        <v>784</v>
      </c>
      <c r="W267" s="11">
        <v>10</v>
      </c>
      <c r="X267" s="11" t="s">
        <v>306</v>
      </c>
      <c r="Y267" s="11" t="s">
        <v>261</v>
      </c>
      <c r="Z267" s="11" t="s">
        <v>261</v>
      </c>
      <c r="AA267" s="11" t="s">
        <v>261</v>
      </c>
      <c r="AB267" s="11" t="s">
        <v>583</v>
      </c>
      <c r="AC267" s="11" t="s">
        <v>261</v>
      </c>
      <c r="AD267" s="11" t="s">
        <v>261</v>
      </c>
      <c r="AE267" s="11" t="s">
        <v>551</v>
      </c>
      <c r="AF267" s="12" t="s">
        <v>261</v>
      </c>
      <c r="AG267" s="11" t="s">
        <v>261</v>
      </c>
    </row>
    <row r="268" spans="1:33" ht="30" x14ac:dyDescent="0.25">
      <c r="A268" s="11">
        <v>1</v>
      </c>
      <c r="B268" s="11" t="s">
        <v>261</v>
      </c>
      <c r="C268" s="11">
        <v>218315</v>
      </c>
      <c r="D268" s="11" t="s">
        <v>1013</v>
      </c>
      <c r="E268" s="11" t="str">
        <f>MID(Table2[[#This Row],[تاريخ تاييد]],1,7)</f>
        <v>1404/06</v>
      </c>
      <c r="F268" s="11" t="str">
        <f>MID(Table2[[#This Row],[تاريخ تاييد]],6,2)</f>
        <v>06</v>
      </c>
      <c r="G268" s="11" t="str">
        <f>LEFT(Table2[[#This Row],[تاريخ تاييد]],4)</f>
        <v>1404</v>
      </c>
      <c r="H268" s="11" t="str">
        <f>VLOOKUP(Table2[[#This Row],[شماره فني]],Sheet7!A:C,3,0)</f>
        <v>کلید شیشه بالابر</v>
      </c>
      <c r="I268" s="11" t="str">
        <f>VLOOKUP(Table2[[#This Row],[شماره فني]],Sheet7!A:B,2,0)</f>
        <v>کلید شیشه بالابر جلو راست سورن</v>
      </c>
      <c r="J268" s="11" t="s">
        <v>1008</v>
      </c>
      <c r="K268" s="11" t="s">
        <v>723</v>
      </c>
      <c r="L268" s="11" t="s">
        <v>261</v>
      </c>
      <c r="M268" s="11" t="s">
        <v>261</v>
      </c>
      <c r="N268" s="11" t="s">
        <v>261</v>
      </c>
      <c r="O268" s="11" t="s">
        <v>261</v>
      </c>
      <c r="P268" s="11" t="s">
        <v>261</v>
      </c>
      <c r="Q268" s="11" t="s">
        <v>261</v>
      </c>
      <c r="R268" s="11" t="s">
        <v>261</v>
      </c>
      <c r="S268" s="11" t="s">
        <v>261</v>
      </c>
      <c r="T268" s="11" t="s">
        <v>261</v>
      </c>
      <c r="U268" s="11" t="s">
        <v>552</v>
      </c>
      <c r="V268" s="11" t="s">
        <v>784</v>
      </c>
      <c r="W268" s="11">
        <v>10</v>
      </c>
      <c r="X268" s="11" t="s">
        <v>205</v>
      </c>
      <c r="Y268" s="11" t="s">
        <v>261</v>
      </c>
      <c r="Z268" s="11" t="s">
        <v>261</v>
      </c>
      <c r="AA268" s="11" t="s">
        <v>261</v>
      </c>
      <c r="AB268" s="11" t="s">
        <v>583</v>
      </c>
      <c r="AC268" s="11" t="s">
        <v>261</v>
      </c>
      <c r="AD268" s="11" t="s">
        <v>261</v>
      </c>
      <c r="AE268" s="11" t="s">
        <v>551</v>
      </c>
      <c r="AF268" s="12" t="s">
        <v>261</v>
      </c>
      <c r="AG268" s="11" t="s">
        <v>261</v>
      </c>
    </row>
    <row r="269" spans="1:33" ht="30" x14ac:dyDescent="0.25">
      <c r="A269" s="11">
        <v>1</v>
      </c>
      <c r="B269" s="11" t="s">
        <v>261</v>
      </c>
      <c r="C269" s="11">
        <v>218334</v>
      </c>
      <c r="D269" s="11" t="s">
        <v>1013</v>
      </c>
      <c r="E269" s="11" t="str">
        <f>MID(Table2[[#This Row],[تاريخ تاييد]],1,7)</f>
        <v>1404/06</v>
      </c>
      <c r="F269" s="11" t="str">
        <f>MID(Table2[[#This Row],[تاريخ تاييد]],6,2)</f>
        <v>06</v>
      </c>
      <c r="G269" s="11" t="str">
        <f>LEFT(Table2[[#This Row],[تاريخ تاييد]],4)</f>
        <v>1404</v>
      </c>
      <c r="H269" s="11" t="str">
        <f>VLOOKUP(Table2[[#This Row],[شماره فني]],Sheet7!A:C,3,0)</f>
        <v>جلو آمپر</v>
      </c>
      <c r="I269" s="11" t="str">
        <f>VLOOKUP(Table2[[#This Row],[شماره فني]],Sheet7!A:B,2,0)</f>
        <v>جلو آمپر تارا اتوماتیک</v>
      </c>
      <c r="J269" s="11" t="s">
        <v>1009</v>
      </c>
      <c r="K269" s="11" t="s">
        <v>231</v>
      </c>
      <c r="L269" s="11" t="s">
        <v>261</v>
      </c>
      <c r="M269" s="11" t="s">
        <v>261</v>
      </c>
      <c r="N269" s="11" t="s">
        <v>261</v>
      </c>
      <c r="O269" s="11" t="s">
        <v>261</v>
      </c>
      <c r="P269" s="11" t="s">
        <v>261</v>
      </c>
      <c r="Q269" s="11" t="s">
        <v>261</v>
      </c>
      <c r="R269" s="11" t="s">
        <v>261</v>
      </c>
      <c r="S269" s="11" t="s">
        <v>261</v>
      </c>
      <c r="T269" s="11" t="s">
        <v>261</v>
      </c>
      <c r="U269" s="11" t="s">
        <v>552</v>
      </c>
      <c r="V269" s="11" t="s">
        <v>552</v>
      </c>
      <c r="W269" s="11">
        <v>1</v>
      </c>
      <c r="X269" s="11" t="s">
        <v>20</v>
      </c>
      <c r="Y269" s="11" t="s">
        <v>261</v>
      </c>
      <c r="Z269" s="11" t="s">
        <v>261</v>
      </c>
      <c r="AA269" s="11" t="s">
        <v>261</v>
      </c>
      <c r="AB269" s="11" t="s">
        <v>583</v>
      </c>
      <c r="AC269" s="11" t="s">
        <v>261</v>
      </c>
      <c r="AD269" s="11" t="s">
        <v>261</v>
      </c>
      <c r="AE269" s="11" t="s">
        <v>552</v>
      </c>
      <c r="AF269" s="12" t="s">
        <v>261</v>
      </c>
      <c r="AG269" s="11" t="s">
        <v>261</v>
      </c>
    </row>
    <row r="270" spans="1:33" ht="45" x14ac:dyDescent="0.25">
      <c r="A270" s="11">
        <v>1</v>
      </c>
      <c r="B270" s="11" t="s">
        <v>261</v>
      </c>
      <c r="C270" s="11">
        <v>218335</v>
      </c>
      <c r="D270" s="11" t="s">
        <v>1013</v>
      </c>
      <c r="E270" s="11" t="str">
        <f>MID(Table2[[#This Row],[تاريخ تاييد]],1,7)</f>
        <v>1404/06</v>
      </c>
      <c r="F270" s="11" t="str">
        <f>MID(Table2[[#This Row],[تاريخ تاييد]],6,2)</f>
        <v>06</v>
      </c>
      <c r="G270" s="11" t="str">
        <f>LEFT(Table2[[#This Row],[تاريخ تاييد]],4)</f>
        <v>1404</v>
      </c>
      <c r="H270" s="11" t="str">
        <f>VLOOKUP(Table2[[#This Row],[شماره فني]],Sheet7!A:C,3,0)</f>
        <v>NOD</v>
      </c>
      <c r="I270" s="11" t="str">
        <f>VLOOKUP(Table2[[#This Row],[شماره فني]],Sheet7!A:B,2,0)</f>
        <v>NBCM TARA SAL SBR</v>
      </c>
      <c r="J270" s="11" t="s">
        <v>1010</v>
      </c>
      <c r="K270" s="11" t="s">
        <v>851</v>
      </c>
      <c r="L270" s="11" t="s">
        <v>22</v>
      </c>
      <c r="M270" s="11" t="s">
        <v>1021</v>
      </c>
      <c r="N270" s="11" t="s">
        <v>261</v>
      </c>
      <c r="O270" s="11" t="s">
        <v>261</v>
      </c>
      <c r="P270" s="11" t="s">
        <v>261</v>
      </c>
      <c r="Q270" s="11" t="s">
        <v>261</v>
      </c>
      <c r="R270" s="11" t="s">
        <v>167</v>
      </c>
      <c r="S270" s="11" t="s">
        <v>261</v>
      </c>
      <c r="T270" s="11" t="s">
        <v>801</v>
      </c>
      <c r="U270" s="11" t="s">
        <v>797</v>
      </c>
      <c r="V270" s="11" t="s">
        <v>1138</v>
      </c>
      <c r="W270" s="11">
        <v>1</v>
      </c>
      <c r="X270" s="11" t="s">
        <v>1002</v>
      </c>
      <c r="Y270" s="11" t="s">
        <v>261</v>
      </c>
      <c r="Z270" s="11" t="s">
        <v>1021</v>
      </c>
      <c r="AA270" s="11" t="s">
        <v>66</v>
      </c>
      <c r="AB270" s="11" t="s">
        <v>28</v>
      </c>
      <c r="AC270" s="11" t="s">
        <v>261</v>
      </c>
      <c r="AD270" s="11" t="s">
        <v>261</v>
      </c>
      <c r="AE270" s="11" t="s">
        <v>551</v>
      </c>
      <c r="AF270" s="12" t="s">
        <v>1137</v>
      </c>
      <c r="AG270" s="11" t="s">
        <v>261</v>
      </c>
    </row>
    <row r="271" spans="1:33" ht="30" x14ac:dyDescent="0.25">
      <c r="A271" s="11">
        <v>1</v>
      </c>
      <c r="B271" s="11" t="s">
        <v>261</v>
      </c>
      <c r="C271" s="11">
        <v>218425</v>
      </c>
      <c r="D271" s="11" t="s">
        <v>1014</v>
      </c>
      <c r="E271" s="11" t="str">
        <f>MID(Table2[[#This Row],[تاريخ تاييد]],1,7)</f>
        <v>1404/06</v>
      </c>
      <c r="F271" s="11" t="str">
        <f>MID(Table2[[#This Row],[تاريخ تاييد]],6,2)</f>
        <v>06</v>
      </c>
      <c r="G271" s="11" t="str">
        <f>LEFT(Table2[[#This Row],[تاريخ تاييد]],4)</f>
        <v>1404</v>
      </c>
      <c r="H271" s="11" t="str">
        <f>VLOOKUP(Table2[[#This Row],[شماره فني]],Sheet7!A:C,3,0)</f>
        <v>جلو آمپر</v>
      </c>
      <c r="I271" s="11" t="str">
        <f>VLOOKUP(Table2[[#This Row],[شماره فني]],Sheet7!A:B,2,0)</f>
        <v>جلو آمپر دنا SBR</v>
      </c>
      <c r="J271" s="11" t="s">
        <v>948</v>
      </c>
      <c r="K271" s="11" t="s">
        <v>231</v>
      </c>
      <c r="L271" s="11" t="s">
        <v>22</v>
      </c>
      <c r="M271" s="11" t="s">
        <v>1021</v>
      </c>
      <c r="N271" s="11" t="s">
        <v>261</v>
      </c>
      <c r="O271" s="11" t="s">
        <v>261</v>
      </c>
      <c r="P271" s="11" t="s">
        <v>261</v>
      </c>
      <c r="Q271" s="11" t="s">
        <v>261</v>
      </c>
      <c r="R271" s="11" t="s">
        <v>754</v>
      </c>
      <c r="S271" s="11" t="s">
        <v>261</v>
      </c>
      <c r="T271" s="11" t="s">
        <v>231</v>
      </c>
      <c r="U271" s="11" t="s">
        <v>797</v>
      </c>
      <c r="V271" s="11" t="s">
        <v>1138</v>
      </c>
      <c r="W271" s="11">
        <v>1</v>
      </c>
      <c r="X271" s="11" t="s">
        <v>1004</v>
      </c>
      <c r="Y271" s="11" t="s">
        <v>261</v>
      </c>
      <c r="Z271" s="11" t="s">
        <v>1021</v>
      </c>
      <c r="AA271" s="11" t="s">
        <v>66</v>
      </c>
      <c r="AB271" s="11" t="s">
        <v>28</v>
      </c>
      <c r="AC271" s="11" t="s">
        <v>261</v>
      </c>
      <c r="AD271" s="11" t="s">
        <v>261</v>
      </c>
      <c r="AE271" s="11" t="s">
        <v>551</v>
      </c>
      <c r="AF271" s="12" t="s">
        <v>261</v>
      </c>
      <c r="AG271" s="11" t="s">
        <v>261</v>
      </c>
    </row>
    <row r="272" spans="1:33" ht="30" x14ac:dyDescent="0.25">
      <c r="A272" s="11">
        <v>1</v>
      </c>
      <c r="B272" s="11" t="s">
        <v>261</v>
      </c>
      <c r="C272" s="11">
        <v>218478</v>
      </c>
      <c r="D272" s="11" t="s">
        <v>1015</v>
      </c>
      <c r="E272" s="11" t="str">
        <f>MID(Table2[[#This Row],[تاريخ تاييد]],1,7)</f>
        <v>1404/06</v>
      </c>
      <c r="F272" s="11" t="str">
        <f>MID(Table2[[#This Row],[تاريخ تاييد]],6,2)</f>
        <v>06</v>
      </c>
      <c r="G272" s="11" t="str">
        <f>LEFT(Table2[[#This Row],[تاريخ تاييد]],4)</f>
        <v>1404</v>
      </c>
      <c r="H272" s="11" t="str">
        <f>VLOOKUP(Table2[[#This Row],[شماره فني]],Sheet7!A:C,3,0)</f>
        <v>جلو آمپر</v>
      </c>
      <c r="I272" s="11" t="str">
        <f>VLOOKUP(Table2[[#This Row],[شماره فني]],Sheet7!A:B,2,0)</f>
        <v>جلو آمپر دنا SBR</v>
      </c>
      <c r="J272" s="11" t="s">
        <v>1011</v>
      </c>
      <c r="K272" s="11" t="s">
        <v>231</v>
      </c>
      <c r="L272" s="11" t="s">
        <v>22</v>
      </c>
      <c r="M272" s="11" t="s">
        <v>1021</v>
      </c>
      <c r="N272" s="11" t="s">
        <v>261</v>
      </c>
      <c r="O272" s="11" t="s">
        <v>261</v>
      </c>
      <c r="P272" s="11" t="s">
        <v>261</v>
      </c>
      <c r="Q272" s="11" t="s">
        <v>261</v>
      </c>
      <c r="R272" s="11" t="s">
        <v>754</v>
      </c>
      <c r="S272" s="11" t="s">
        <v>261</v>
      </c>
      <c r="T272" s="11" t="s">
        <v>231</v>
      </c>
      <c r="U272" s="11" t="s">
        <v>797</v>
      </c>
      <c r="V272" s="11" t="s">
        <v>1138</v>
      </c>
      <c r="W272" s="11">
        <v>1</v>
      </c>
      <c r="X272" s="11" t="s">
        <v>1004</v>
      </c>
      <c r="Y272" s="11" t="s">
        <v>261</v>
      </c>
      <c r="Z272" s="11" t="s">
        <v>1021</v>
      </c>
      <c r="AA272" s="11" t="s">
        <v>66</v>
      </c>
      <c r="AB272" s="11" t="s">
        <v>28</v>
      </c>
      <c r="AC272" s="11" t="s">
        <v>261</v>
      </c>
      <c r="AD272" s="11" t="s">
        <v>261</v>
      </c>
      <c r="AE272" s="11" t="s">
        <v>551</v>
      </c>
      <c r="AF272" s="12" t="s">
        <v>261</v>
      </c>
      <c r="AG272" s="11" t="s">
        <v>261</v>
      </c>
    </row>
    <row r="273" spans="1:33" ht="30" x14ac:dyDescent="0.25">
      <c r="A273" s="11">
        <v>1</v>
      </c>
      <c r="B273" s="11" t="s">
        <v>261</v>
      </c>
      <c r="C273" s="11">
        <v>218623</v>
      </c>
      <c r="D273" s="11" t="s">
        <v>1015</v>
      </c>
      <c r="E273" s="11" t="str">
        <f>MID(Table2[[#This Row],[تاريخ تاييد]],1,7)</f>
        <v>1404/06</v>
      </c>
      <c r="F273" s="11" t="str">
        <f>MID(Table2[[#This Row],[تاريخ تاييد]],6,2)</f>
        <v>06</v>
      </c>
      <c r="G273" s="11" t="str">
        <f>LEFT(Table2[[#This Row],[تاريخ تاييد]],4)</f>
        <v>1404</v>
      </c>
      <c r="H273" s="11" t="str">
        <f>VLOOKUP(Table2[[#This Row],[شماره فني]],Sheet7!A:C,3,0)</f>
        <v>جلو آمپر</v>
      </c>
      <c r="I273" s="11" t="str">
        <f>VLOOKUP(Table2[[#This Row],[شماره فني]],Sheet7!A:B,2,0)</f>
        <v>جلو آمپر تارا دستی SBR</v>
      </c>
      <c r="J273" s="11" t="s">
        <v>1012</v>
      </c>
      <c r="K273" s="11" t="s">
        <v>851</v>
      </c>
      <c r="L273" s="11" t="s">
        <v>22</v>
      </c>
      <c r="M273" s="11" t="s">
        <v>1021</v>
      </c>
      <c r="N273" s="11" t="s">
        <v>261</v>
      </c>
      <c r="O273" s="11" t="s">
        <v>261</v>
      </c>
      <c r="P273" s="11" t="s">
        <v>261</v>
      </c>
      <c r="Q273" s="11" t="s">
        <v>261</v>
      </c>
      <c r="R273" s="11" t="s">
        <v>167</v>
      </c>
      <c r="S273" s="11" t="s">
        <v>261</v>
      </c>
      <c r="T273" s="11" t="s">
        <v>801</v>
      </c>
      <c r="U273" s="11" t="s">
        <v>797</v>
      </c>
      <c r="V273" s="11" t="s">
        <v>1138</v>
      </c>
      <c r="W273" s="11">
        <v>1</v>
      </c>
      <c r="X273" s="11" t="s">
        <v>1005</v>
      </c>
      <c r="Y273" s="11" t="s">
        <v>261</v>
      </c>
      <c r="Z273" s="11" t="s">
        <v>1021</v>
      </c>
      <c r="AA273" s="11" t="s">
        <v>66</v>
      </c>
      <c r="AB273" s="11" t="s">
        <v>28</v>
      </c>
      <c r="AC273" s="11" t="s">
        <v>261</v>
      </c>
      <c r="AD273" s="11" t="s">
        <v>261</v>
      </c>
      <c r="AE273" s="11" t="s">
        <v>551</v>
      </c>
      <c r="AF273" s="12" t="s">
        <v>261</v>
      </c>
      <c r="AG273" s="11" t="s">
        <v>261</v>
      </c>
    </row>
    <row r="274" spans="1:33" ht="30" x14ac:dyDescent="0.25">
      <c r="A274" s="11">
        <v>1</v>
      </c>
      <c r="B274" s="11" t="s">
        <v>261</v>
      </c>
      <c r="C274" s="11">
        <v>218978</v>
      </c>
      <c r="D274" s="11" t="s">
        <v>1021</v>
      </c>
      <c r="E274" s="11" t="str">
        <f>MID(Table2[[#This Row],[تاريخ تاييد]],1,7)</f>
        <v>1404/06</v>
      </c>
      <c r="F274" s="11" t="str">
        <f>MID(Table2[[#This Row],[تاريخ تاييد]],6,2)</f>
        <v>06</v>
      </c>
      <c r="G274" s="11" t="str">
        <f>LEFT(Table2[[#This Row],[تاريخ تاييد]],4)</f>
        <v>1404</v>
      </c>
      <c r="H274" s="11" t="str">
        <f>VLOOKUP(Table2[[#This Row],[شماره فني]],Sheet7!A:C,3,0)</f>
        <v>کلید شیشه بالابر</v>
      </c>
      <c r="I274" s="11" t="str">
        <f>VLOOKUP(Table2[[#This Row],[شماره فني]],Sheet7!A:B,2,0)</f>
        <v>کلید شیشه بالابر عقب چپ سورن</v>
      </c>
      <c r="J274" s="11" t="s">
        <v>1019</v>
      </c>
      <c r="K274" s="11" t="s">
        <v>723</v>
      </c>
      <c r="L274" s="11" t="s">
        <v>261</v>
      </c>
      <c r="M274" s="11" t="s">
        <v>261</v>
      </c>
      <c r="N274" s="11" t="s">
        <v>261</v>
      </c>
      <c r="O274" s="11" t="s">
        <v>261</v>
      </c>
      <c r="P274" s="11" t="s">
        <v>261</v>
      </c>
      <c r="Q274" s="11" t="s">
        <v>261</v>
      </c>
      <c r="R274" s="11" t="s">
        <v>261</v>
      </c>
      <c r="S274" s="11" t="s">
        <v>261</v>
      </c>
      <c r="T274" s="11" t="s">
        <v>261</v>
      </c>
      <c r="U274" s="11" t="s">
        <v>552</v>
      </c>
      <c r="V274" s="11" t="s">
        <v>552</v>
      </c>
      <c r="W274" s="11">
        <v>2</v>
      </c>
      <c r="X274" s="11" t="s">
        <v>287</v>
      </c>
      <c r="Y274" s="11" t="s">
        <v>261</v>
      </c>
      <c r="Z274" s="11" t="s">
        <v>261</v>
      </c>
      <c r="AA274" s="11" t="s">
        <v>261</v>
      </c>
      <c r="AB274" s="11" t="s">
        <v>583</v>
      </c>
      <c r="AC274" s="11" t="s">
        <v>261</v>
      </c>
      <c r="AD274" s="11" t="s">
        <v>261</v>
      </c>
      <c r="AE274" s="11" t="s">
        <v>552</v>
      </c>
      <c r="AF274" s="12" t="s">
        <v>261</v>
      </c>
      <c r="AG274" s="11" t="s">
        <v>261</v>
      </c>
    </row>
    <row r="275" spans="1:33" ht="30" x14ac:dyDescent="0.25">
      <c r="A275" s="11">
        <v>1</v>
      </c>
      <c r="B275" s="11" t="s">
        <v>261</v>
      </c>
      <c r="C275" s="11">
        <v>219051</v>
      </c>
      <c r="D275" s="11" t="s">
        <v>1022</v>
      </c>
      <c r="E275" s="11" t="str">
        <f>MID(Table2[[#This Row],[تاريخ تاييد]],1,7)</f>
        <v>1404/06</v>
      </c>
      <c r="F275" s="11" t="str">
        <f>MID(Table2[[#This Row],[تاريخ تاييد]],6,2)</f>
        <v>06</v>
      </c>
      <c r="G275" s="11" t="str">
        <f>LEFT(Table2[[#This Row],[تاريخ تاييد]],4)</f>
        <v>1404</v>
      </c>
      <c r="H275" s="11" t="str">
        <f>VLOOKUP(Table2[[#This Row],[شماره فني]],Sheet7!A:C,3,0)</f>
        <v>جلو آمپر</v>
      </c>
      <c r="I275" s="11" t="str">
        <f>VLOOKUP(Table2[[#This Row],[شماره فني]],Sheet7!A:B,2,0)</f>
        <v>جلو آمپر دنا SBR</v>
      </c>
      <c r="J275" s="11" t="s">
        <v>1020</v>
      </c>
      <c r="K275" s="11" t="s">
        <v>724</v>
      </c>
      <c r="L275" s="11" t="s">
        <v>261</v>
      </c>
      <c r="M275" s="11" t="s">
        <v>261</v>
      </c>
      <c r="N275" s="11" t="s">
        <v>261</v>
      </c>
      <c r="O275" s="11" t="s">
        <v>261</v>
      </c>
      <c r="P275" s="11" t="s">
        <v>261</v>
      </c>
      <c r="Q275" s="11" t="s">
        <v>261</v>
      </c>
      <c r="R275" s="11" t="s">
        <v>261</v>
      </c>
      <c r="S275" s="11" t="s">
        <v>261</v>
      </c>
      <c r="T275" s="11" t="s">
        <v>261</v>
      </c>
      <c r="U275" s="11" t="s">
        <v>552</v>
      </c>
      <c r="V275" s="11" t="s">
        <v>784</v>
      </c>
      <c r="W275" s="11">
        <v>1</v>
      </c>
      <c r="X275" s="11" t="s">
        <v>1004</v>
      </c>
      <c r="Y275" s="11" t="s">
        <v>261</v>
      </c>
      <c r="Z275" s="11" t="s">
        <v>261</v>
      </c>
      <c r="AA275" s="11" t="s">
        <v>261</v>
      </c>
      <c r="AB275" s="11" t="s">
        <v>583</v>
      </c>
      <c r="AC275" s="11" t="s">
        <v>261</v>
      </c>
      <c r="AD275" s="11" t="s">
        <v>261</v>
      </c>
      <c r="AE275" s="11" t="s">
        <v>551</v>
      </c>
      <c r="AF275" s="12" t="s">
        <v>261</v>
      </c>
      <c r="AG275" s="11" t="s">
        <v>261</v>
      </c>
    </row>
    <row r="276" spans="1:33" ht="30" x14ac:dyDescent="0.25">
      <c r="A276" s="11">
        <v>1</v>
      </c>
      <c r="B276" s="11" t="s">
        <v>261</v>
      </c>
      <c r="C276" s="11">
        <v>219133</v>
      </c>
      <c r="D276" s="11" t="s">
        <v>1025</v>
      </c>
      <c r="E276" s="11" t="str">
        <f>MID(Table2[[#This Row],[تاريخ تاييد]],1,7)</f>
        <v>1404/06</v>
      </c>
      <c r="F276" s="11" t="str">
        <f>MID(Table2[[#This Row],[تاريخ تاييد]],6,2)</f>
        <v>06</v>
      </c>
      <c r="G276" s="11" t="str">
        <f>LEFT(Table2[[#This Row],[تاريخ تاييد]],4)</f>
        <v>1404</v>
      </c>
      <c r="H276" s="11" t="str">
        <f>VLOOKUP(Table2[[#This Row],[شماره فني]],Sheet7!A:C,3,0)</f>
        <v>جلو آمپر</v>
      </c>
      <c r="I276" s="11" t="str">
        <f>VLOOKUP(Table2[[#This Row],[شماره فني]],Sheet7!A:B,2,0)</f>
        <v xml:space="preserve">جلو آمپر207  معمولی85 گانه SBR </v>
      </c>
      <c r="J276" s="11" t="s">
        <v>1029</v>
      </c>
      <c r="K276" s="11" t="s">
        <v>724</v>
      </c>
      <c r="L276" s="11" t="s">
        <v>261</v>
      </c>
      <c r="M276" s="11" t="s">
        <v>261</v>
      </c>
      <c r="N276" s="11" t="s">
        <v>261</v>
      </c>
      <c r="O276" s="11" t="s">
        <v>261</v>
      </c>
      <c r="P276" s="11" t="s">
        <v>261</v>
      </c>
      <c r="Q276" s="11" t="s">
        <v>261</v>
      </c>
      <c r="R276" s="11" t="s">
        <v>261</v>
      </c>
      <c r="S276" s="11" t="s">
        <v>261</v>
      </c>
      <c r="T276" s="11" t="s">
        <v>261</v>
      </c>
      <c r="U276" s="11" t="s">
        <v>552</v>
      </c>
      <c r="V276" s="11" t="s">
        <v>552</v>
      </c>
      <c r="W276" s="11">
        <v>2</v>
      </c>
      <c r="X276" s="11" t="s">
        <v>1027</v>
      </c>
      <c r="Y276" s="11" t="s">
        <v>261</v>
      </c>
      <c r="Z276" s="11" t="s">
        <v>261</v>
      </c>
      <c r="AA276" s="11" t="s">
        <v>261</v>
      </c>
      <c r="AB276" s="11" t="s">
        <v>583</v>
      </c>
      <c r="AC276" s="11" t="s">
        <v>261</v>
      </c>
      <c r="AD276" s="11" t="s">
        <v>261</v>
      </c>
      <c r="AE276" s="11" t="s">
        <v>552</v>
      </c>
      <c r="AF276" s="12" t="s">
        <v>261</v>
      </c>
      <c r="AG276" s="11" t="s">
        <v>261</v>
      </c>
    </row>
    <row r="277" spans="1:33" ht="30" x14ac:dyDescent="0.25">
      <c r="A277" s="11">
        <v>1</v>
      </c>
      <c r="B277" s="11" t="s">
        <v>261</v>
      </c>
      <c r="C277" s="11">
        <v>219134</v>
      </c>
      <c r="D277" s="11" t="s">
        <v>1025</v>
      </c>
      <c r="E277" s="11" t="str">
        <f>MID(Table2[[#This Row],[تاريخ تاييد]],1,7)</f>
        <v>1404/06</v>
      </c>
      <c r="F277" s="11" t="str">
        <f>MID(Table2[[#This Row],[تاريخ تاييد]],6,2)</f>
        <v>06</v>
      </c>
      <c r="G277" s="11" t="str">
        <f>LEFT(Table2[[#This Row],[تاريخ تاييد]],4)</f>
        <v>1404</v>
      </c>
      <c r="H277" s="11" t="str">
        <f>VLOOKUP(Table2[[#This Row],[شماره فني]],Sheet7!A:C,3,0)</f>
        <v>جلو آمپر</v>
      </c>
      <c r="I277" s="11" t="str">
        <f>VLOOKUP(Table2[[#This Row],[شماره فني]],Sheet7!A:B,2,0)</f>
        <v>جلو آمپر تارا دستی SBR</v>
      </c>
      <c r="J277" s="11" t="s">
        <v>1030</v>
      </c>
      <c r="K277" s="11" t="s">
        <v>233</v>
      </c>
      <c r="L277" s="11" t="s">
        <v>261</v>
      </c>
      <c r="M277" s="11" t="s">
        <v>261</v>
      </c>
      <c r="N277" s="11" t="s">
        <v>261</v>
      </c>
      <c r="O277" s="11" t="s">
        <v>261</v>
      </c>
      <c r="P277" s="11" t="s">
        <v>261</v>
      </c>
      <c r="Q277" s="11" t="s">
        <v>261</v>
      </c>
      <c r="R277" s="11" t="s">
        <v>261</v>
      </c>
      <c r="S277" s="11" t="s">
        <v>261</v>
      </c>
      <c r="T277" s="11" t="s">
        <v>261</v>
      </c>
      <c r="U277" s="11" t="s">
        <v>552</v>
      </c>
      <c r="V277" s="11" t="s">
        <v>784</v>
      </c>
      <c r="W277" s="11">
        <v>1</v>
      </c>
      <c r="X277" s="11" t="s">
        <v>1005</v>
      </c>
      <c r="Y277" s="11" t="s">
        <v>261</v>
      </c>
      <c r="Z277" s="11" t="s">
        <v>261</v>
      </c>
      <c r="AA277" s="11" t="s">
        <v>261</v>
      </c>
      <c r="AB277" s="11" t="s">
        <v>583</v>
      </c>
      <c r="AC277" s="11" t="s">
        <v>261</v>
      </c>
      <c r="AD277" s="11" t="s">
        <v>261</v>
      </c>
      <c r="AE277" s="11" t="s">
        <v>551</v>
      </c>
      <c r="AF277" s="12" t="s">
        <v>261</v>
      </c>
      <c r="AG277" s="11" t="s">
        <v>261</v>
      </c>
    </row>
    <row r="278" spans="1:33" ht="30" x14ac:dyDescent="0.25">
      <c r="A278" s="11">
        <v>1</v>
      </c>
      <c r="B278" s="11" t="s">
        <v>261</v>
      </c>
      <c r="C278" s="11">
        <v>219285</v>
      </c>
      <c r="D278" s="11" t="s">
        <v>1026</v>
      </c>
      <c r="E278" s="11" t="str">
        <f>MID(Table2[[#This Row],[تاريخ تاييد]],1,7)</f>
        <v>1404/06</v>
      </c>
      <c r="F278" s="11" t="str">
        <f>MID(Table2[[#This Row],[تاريخ تاييد]],6,2)</f>
        <v>06</v>
      </c>
      <c r="G278" s="11" t="str">
        <f>LEFT(Table2[[#This Row],[تاريخ تاييد]],4)</f>
        <v>1404</v>
      </c>
      <c r="H278" s="11" t="str">
        <f>VLOOKUP(Table2[[#This Row],[شماره فني]],Sheet7!A:C,3,0)</f>
        <v>جلو آمپر</v>
      </c>
      <c r="I278" s="11" t="str">
        <f>VLOOKUP(Table2[[#This Row],[شماره فني]],Sheet7!A:B,2,0)</f>
        <v>جلو آمپرSOREN SBR</v>
      </c>
      <c r="J278" s="11" t="s">
        <v>1031</v>
      </c>
      <c r="K278" s="11" t="s">
        <v>334</v>
      </c>
      <c r="L278" s="11" t="s">
        <v>261</v>
      </c>
      <c r="M278" s="11" t="s">
        <v>261</v>
      </c>
      <c r="N278" s="11" t="s">
        <v>261</v>
      </c>
      <c r="O278" s="11" t="s">
        <v>261</v>
      </c>
      <c r="P278" s="11" t="s">
        <v>261</v>
      </c>
      <c r="Q278" s="11" t="s">
        <v>261</v>
      </c>
      <c r="R278" s="11" t="s">
        <v>261</v>
      </c>
      <c r="S278" s="11" t="s">
        <v>261</v>
      </c>
      <c r="T278" s="11" t="s">
        <v>261</v>
      </c>
      <c r="U278" s="11" t="s">
        <v>1053</v>
      </c>
      <c r="V278" s="11" t="s">
        <v>1053</v>
      </c>
      <c r="W278" s="11">
        <v>60</v>
      </c>
      <c r="X278" s="11" t="s">
        <v>1028</v>
      </c>
      <c r="Y278" s="11" t="s">
        <v>261</v>
      </c>
      <c r="Z278" s="11" t="s">
        <v>261</v>
      </c>
      <c r="AA278" s="11" t="s">
        <v>261</v>
      </c>
      <c r="AB278" s="11" t="s">
        <v>583</v>
      </c>
      <c r="AC278" s="11" t="s">
        <v>261</v>
      </c>
      <c r="AD278" s="11" t="s">
        <v>261</v>
      </c>
      <c r="AE278" s="11" t="s">
        <v>1053</v>
      </c>
      <c r="AF278" s="12" t="s">
        <v>261</v>
      </c>
      <c r="AG278" s="11" t="s">
        <v>261</v>
      </c>
    </row>
    <row r="279" spans="1:33" ht="30" x14ac:dyDescent="0.25">
      <c r="A279" s="11">
        <v>1</v>
      </c>
      <c r="B279" s="11" t="s">
        <v>261</v>
      </c>
      <c r="C279" s="11">
        <v>219292</v>
      </c>
      <c r="D279" s="11" t="s">
        <v>1096</v>
      </c>
      <c r="E279" s="11" t="str">
        <f>MID(Table2[[#This Row],[تاريخ تاييد]],1,7)</f>
        <v>1404/06</v>
      </c>
      <c r="F279" s="11" t="str">
        <f>MID(Table2[[#This Row],[تاريخ تاييد]],6,2)</f>
        <v>06</v>
      </c>
      <c r="G279" s="11" t="str">
        <f>LEFT(Table2[[#This Row],[تاريخ تاييد]],4)</f>
        <v>1404</v>
      </c>
      <c r="H279" s="11" t="str">
        <f>VLOOKUP(Table2[[#This Row],[شماره فني]],Sheet7!A:C,3,0)</f>
        <v>کلید شیشه بالابر</v>
      </c>
      <c r="I279" s="11" t="str">
        <f>VLOOKUP(Table2[[#This Row],[شماره فني]],Sheet7!A:B,2,0)</f>
        <v>کلید شیشه بالابر جلو چپ دنا</v>
      </c>
      <c r="J279" s="11" t="s">
        <v>1097</v>
      </c>
      <c r="K279" s="11" t="s">
        <v>1098</v>
      </c>
      <c r="L279" s="11" t="s">
        <v>22</v>
      </c>
      <c r="M279" s="11" t="s">
        <v>1102</v>
      </c>
      <c r="N279" s="11" t="s">
        <v>261</v>
      </c>
      <c r="O279" s="11" t="s">
        <v>261</v>
      </c>
      <c r="P279" s="11" t="s">
        <v>261</v>
      </c>
      <c r="Q279" s="11" t="s">
        <v>261</v>
      </c>
      <c r="R279" s="11" t="s">
        <v>1099</v>
      </c>
      <c r="S279" s="11" t="s">
        <v>1099</v>
      </c>
      <c r="T279" s="11" t="s">
        <v>1100</v>
      </c>
      <c r="U279" s="11" t="s">
        <v>1178</v>
      </c>
      <c r="V279" s="11" t="s">
        <v>1101</v>
      </c>
      <c r="W279" s="11">
        <v>1</v>
      </c>
      <c r="X279" s="11" t="s">
        <v>387</v>
      </c>
      <c r="Y279" s="11" t="s">
        <v>261</v>
      </c>
      <c r="Z279" s="11" t="s">
        <v>1102</v>
      </c>
      <c r="AA279" s="11" t="s">
        <v>66</v>
      </c>
      <c r="AB279" s="11" t="s">
        <v>29</v>
      </c>
      <c r="AC279" s="11" t="s">
        <v>261</v>
      </c>
      <c r="AD279" s="11" t="s">
        <v>261</v>
      </c>
      <c r="AE279" s="11" t="s">
        <v>551</v>
      </c>
      <c r="AF279" s="12" t="s">
        <v>261</v>
      </c>
      <c r="AG279" s="11" t="s">
        <v>261</v>
      </c>
    </row>
    <row r="280" spans="1:33" ht="30" x14ac:dyDescent="0.25">
      <c r="A280" s="11">
        <v>1</v>
      </c>
      <c r="B280" s="11" t="s">
        <v>261</v>
      </c>
      <c r="C280" s="11">
        <v>219555</v>
      </c>
      <c r="D280" s="11" t="s">
        <v>1026</v>
      </c>
      <c r="E280" s="11" t="str">
        <f>MID(Table2[[#This Row],[تاريخ تاييد]],1,7)</f>
        <v>1404/06</v>
      </c>
      <c r="F280" s="11" t="str">
        <f>MID(Table2[[#This Row],[تاريخ تاييد]],6,2)</f>
        <v>06</v>
      </c>
      <c r="G280" s="11" t="str">
        <f>LEFT(Table2[[#This Row],[تاريخ تاييد]],4)</f>
        <v>1404</v>
      </c>
      <c r="H280" s="11" t="str">
        <f>VLOOKUP(Table2[[#This Row],[شماره فني]],Sheet7!A:C,3,0)</f>
        <v>کلید شیشه بالابر</v>
      </c>
      <c r="I280" s="11" t="str">
        <f>VLOOKUP(Table2[[#This Row],[شماره فني]],Sheet7!A:B,2,0)</f>
        <v>کلید شیشه بالابر جلو چپ دنا</v>
      </c>
      <c r="J280" s="11" t="s">
        <v>1032</v>
      </c>
      <c r="K280" s="11" t="s">
        <v>1098</v>
      </c>
      <c r="L280" s="11" t="s">
        <v>261</v>
      </c>
      <c r="M280" s="11" t="s">
        <v>261</v>
      </c>
      <c r="N280" s="11" t="s">
        <v>261</v>
      </c>
      <c r="O280" s="11" t="s">
        <v>261</v>
      </c>
      <c r="P280" s="11" t="s">
        <v>261</v>
      </c>
      <c r="Q280" s="11" t="s">
        <v>261</v>
      </c>
      <c r="R280" s="11" t="s">
        <v>261</v>
      </c>
      <c r="S280" s="11" t="s">
        <v>261</v>
      </c>
      <c r="T280" s="11" t="s">
        <v>261</v>
      </c>
      <c r="U280" s="11" t="s">
        <v>552</v>
      </c>
      <c r="V280" s="11" t="s">
        <v>784</v>
      </c>
      <c r="W280" s="11">
        <v>1</v>
      </c>
      <c r="X280" s="11" t="s">
        <v>387</v>
      </c>
      <c r="Y280" s="11" t="s">
        <v>261</v>
      </c>
      <c r="Z280" s="11" t="s">
        <v>261</v>
      </c>
      <c r="AA280" s="11" t="s">
        <v>261</v>
      </c>
      <c r="AB280" s="11" t="s">
        <v>583</v>
      </c>
      <c r="AC280" s="11" t="s">
        <v>261</v>
      </c>
      <c r="AD280" s="11" t="s">
        <v>261</v>
      </c>
      <c r="AE280" s="11" t="s">
        <v>551</v>
      </c>
      <c r="AF280" s="12" t="s">
        <v>261</v>
      </c>
      <c r="AG280" s="11" t="s">
        <v>261</v>
      </c>
    </row>
    <row r="281" spans="1:33" ht="30" x14ac:dyDescent="0.25">
      <c r="A281" s="11">
        <v>1</v>
      </c>
      <c r="B281" s="11" t="s">
        <v>261</v>
      </c>
      <c r="C281" s="11">
        <v>219765</v>
      </c>
      <c r="D281" s="11" t="s">
        <v>1035</v>
      </c>
      <c r="E281" s="11" t="str">
        <f>MID(Table2[[#This Row],[تاريخ تاييد]],1,7)</f>
        <v>1404/07</v>
      </c>
      <c r="F281" s="11" t="str">
        <f>MID(Table2[[#This Row],[تاريخ تاييد]],6,2)</f>
        <v>07</v>
      </c>
      <c r="G281" s="11" t="str">
        <f>LEFT(Table2[[#This Row],[تاريخ تاييد]],4)</f>
        <v>1404</v>
      </c>
      <c r="H281" s="11" t="str">
        <f>VLOOKUP(Table2[[#This Row],[شماره فني]],Sheet7!A:C,3,0)</f>
        <v>NOD</v>
      </c>
      <c r="I281" s="11" t="str">
        <f>VLOOKUP(Table2[[#This Row],[شماره فني]],Sheet7!A:B,2,0)</f>
        <v>NBCM TARA SAL SBR</v>
      </c>
      <c r="J281" s="11" t="s">
        <v>1039</v>
      </c>
      <c r="K281" s="11" t="s">
        <v>865</v>
      </c>
      <c r="L281" s="11" t="s">
        <v>22</v>
      </c>
      <c r="M281" s="11" t="s">
        <v>1056</v>
      </c>
      <c r="N281" s="11" t="s">
        <v>261</v>
      </c>
      <c r="O281" s="11" t="s">
        <v>261</v>
      </c>
      <c r="P281" s="11" t="s">
        <v>261</v>
      </c>
      <c r="Q281" s="11" t="s">
        <v>261</v>
      </c>
      <c r="R281" s="11" t="s">
        <v>1057</v>
      </c>
      <c r="S281" s="11" t="s">
        <v>954</v>
      </c>
      <c r="T281" s="11" t="s">
        <v>818</v>
      </c>
      <c r="U281" s="11" t="s">
        <v>824</v>
      </c>
      <c r="V281" s="11" t="s">
        <v>1058</v>
      </c>
      <c r="W281" s="11">
        <v>1</v>
      </c>
      <c r="X281" s="11" t="s">
        <v>1002</v>
      </c>
      <c r="Y281" s="11" t="s">
        <v>261</v>
      </c>
      <c r="Z281" s="11" t="s">
        <v>1056</v>
      </c>
      <c r="AA281" s="11" t="s">
        <v>66</v>
      </c>
      <c r="AB281" s="11" t="s">
        <v>26</v>
      </c>
      <c r="AC281" s="11" t="s">
        <v>261</v>
      </c>
      <c r="AD281" s="11" t="s">
        <v>261</v>
      </c>
      <c r="AE281" s="11" t="s">
        <v>551</v>
      </c>
      <c r="AF281" s="12" t="s">
        <v>261</v>
      </c>
      <c r="AG281" s="11" t="s">
        <v>261</v>
      </c>
    </row>
    <row r="282" spans="1:33" ht="30" x14ac:dyDescent="0.25">
      <c r="A282" s="11">
        <v>1</v>
      </c>
      <c r="B282" s="11" t="s">
        <v>261</v>
      </c>
      <c r="C282" s="11">
        <v>219837</v>
      </c>
      <c r="D282" s="11" t="s">
        <v>1036</v>
      </c>
      <c r="E282" s="11" t="str">
        <f>MID(Table2[[#This Row],[تاريخ تاييد]],1,7)</f>
        <v>1404/07</v>
      </c>
      <c r="F282" s="11" t="str">
        <f>MID(Table2[[#This Row],[تاريخ تاييد]],6,2)</f>
        <v>07</v>
      </c>
      <c r="G282" s="11" t="str">
        <f>LEFT(Table2[[#This Row],[تاريخ تاييد]],4)</f>
        <v>1404</v>
      </c>
      <c r="H282" s="11" t="str">
        <f>VLOOKUP(Table2[[#This Row],[شماره فني]],Sheet7!A:C,3,0)</f>
        <v>جلو آمپر</v>
      </c>
      <c r="I282" s="11" t="str">
        <f>VLOOKUP(Table2[[#This Row],[شماره فني]],Sheet7!A:B,2,0)</f>
        <v>جلو آمپر تارا دستی SBR</v>
      </c>
      <c r="J282" s="11" t="s">
        <v>1040</v>
      </c>
      <c r="K282" s="11" t="s">
        <v>233</v>
      </c>
      <c r="L282" s="11" t="s">
        <v>23</v>
      </c>
      <c r="M282" s="11" t="s">
        <v>1056</v>
      </c>
      <c r="N282" s="11" t="s">
        <v>23</v>
      </c>
      <c r="O282" s="11" t="s">
        <v>1063</v>
      </c>
      <c r="P282" s="11" t="s">
        <v>261</v>
      </c>
      <c r="Q282" s="11" t="s">
        <v>261</v>
      </c>
      <c r="R282" s="11" t="s">
        <v>261</v>
      </c>
      <c r="S282" s="11" t="s">
        <v>261</v>
      </c>
      <c r="T282" s="11" t="s">
        <v>261</v>
      </c>
      <c r="U282" s="11" t="s">
        <v>755</v>
      </c>
      <c r="V282" s="11" t="s">
        <v>553</v>
      </c>
      <c r="W282" s="11">
        <v>1</v>
      </c>
      <c r="X282" s="11" t="s">
        <v>1005</v>
      </c>
      <c r="Y282" s="11" t="s">
        <v>261</v>
      </c>
      <c r="Z282" s="11" t="s">
        <v>1056</v>
      </c>
      <c r="AA282" s="11" t="s">
        <v>66</v>
      </c>
      <c r="AB282" s="11" t="s">
        <v>583</v>
      </c>
      <c r="AC282" s="11" t="s">
        <v>261</v>
      </c>
      <c r="AD282" s="11" t="s">
        <v>261</v>
      </c>
      <c r="AE282" s="11" t="s">
        <v>551</v>
      </c>
      <c r="AF282" s="12" t="s">
        <v>261</v>
      </c>
      <c r="AG282" s="11" t="s">
        <v>261</v>
      </c>
    </row>
    <row r="283" spans="1:33" ht="30" x14ac:dyDescent="0.25">
      <c r="A283" s="11">
        <v>1</v>
      </c>
      <c r="B283" s="11" t="s">
        <v>261</v>
      </c>
      <c r="C283" s="11">
        <v>219838</v>
      </c>
      <c r="D283" s="11" t="s">
        <v>1036</v>
      </c>
      <c r="E283" s="11" t="str">
        <f>MID(Table2[[#This Row],[تاريخ تاييد]],1,7)</f>
        <v>1404/07</v>
      </c>
      <c r="F283" s="11" t="str">
        <f>MID(Table2[[#This Row],[تاريخ تاييد]],6,2)</f>
        <v>07</v>
      </c>
      <c r="G283" s="11" t="str">
        <f>LEFT(Table2[[#This Row],[تاريخ تاييد]],4)</f>
        <v>1404</v>
      </c>
      <c r="H283" s="11" t="str">
        <f>VLOOKUP(Table2[[#This Row],[شماره فني]],Sheet7!A:C,3,0)</f>
        <v>جلو آمپر</v>
      </c>
      <c r="I283" s="11" t="str">
        <f>VLOOKUP(Table2[[#This Row],[شماره فني]],Sheet7!A:B,2,0)</f>
        <v>جلو آمپر تارا اتوماتیک SBR</v>
      </c>
      <c r="J283" s="11" t="s">
        <v>1041</v>
      </c>
      <c r="K283" s="11" t="s">
        <v>724</v>
      </c>
      <c r="L283" s="11" t="s">
        <v>22</v>
      </c>
      <c r="M283" s="11" t="s">
        <v>1056</v>
      </c>
      <c r="N283" s="11" t="s">
        <v>261</v>
      </c>
      <c r="O283" s="11" t="s">
        <v>261</v>
      </c>
      <c r="P283" s="11" t="s">
        <v>261</v>
      </c>
      <c r="Q283" s="11" t="s">
        <v>261</v>
      </c>
      <c r="R283" s="11" t="s">
        <v>1062</v>
      </c>
      <c r="S283" s="11" t="s">
        <v>797</v>
      </c>
      <c r="T283" s="11" t="s">
        <v>922</v>
      </c>
      <c r="U283" s="11" t="s">
        <v>797</v>
      </c>
      <c r="V283" s="11" t="s">
        <v>561</v>
      </c>
      <c r="W283" s="11">
        <v>1</v>
      </c>
      <c r="X283" s="11" t="s">
        <v>1037</v>
      </c>
      <c r="Y283" s="11" t="s">
        <v>261</v>
      </c>
      <c r="Z283" s="11" t="s">
        <v>1056</v>
      </c>
      <c r="AA283" s="11" t="s">
        <v>66</v>
      </c>
      <c r="AB283" s="11" t="s">
        <v>28</v>
      </c>
      <c r="AC283" s="11" t="s">
        <v>261</v>
      </c>
      <c r="AD283" s="11" t="s">
        <v>261</v>
      </c>
      <c r="AE283" s="11" t="s">
        <v>551</v>
      </c>
      <c r="AF283" s="12" t="s">
        <v>261</v>
      </c>
      <c r="AG283" s="11" t="s">
        <v>261</v>
      </c>
    </row>
    <row r="284" spans="1:33" ht="30" x14ac:dyDescent="0.25">
      <c r="A284" s="11">
        <v>1</v>
      </c>
      <c r="B284" s="11" t="s">
        <v>261</v>
      </c>
      <c r="C284" s="11">
        <v>219839</v>
      </c>
      <c r="D284" s="11" t="s">
        <v>1036</v>
      </c>
      <c r="E284" s="11" t="str">
        <f>MID(Table2[[#This Row],[تاريخ تاييد]],1,7)</f>
        <v>1404/07</v>
      </c>
      <c r="F284" s="11" t="str">
        <f>MID(Table2[[#This Row],[تاريخ تاييد]],6,2)</f>
        <v>07</v>
      </c>
      <c r="G284" s="11" t="str">
        <f>LEFT(Table2[[#This Row],[تاريخ تاييد]],4)</f>
        <v>1404</v>
      </c>
      <c r="H284" s="11" t="str">
        <f>VLOOKUP(Table2[[#This Row],[شماره فني]],Sheet7!A:C,3,0)</f>
        <v>NOD</v>
      </c>
      <c r="I284" s="11" t="str">
        <f>VLOOKUP(Table2[[#This Row],[شماره فني]],Sheet7!A:B,2,0)</f>
        <v>NBCM TARA SAL SBR</v>
      </c>
      <c r="J284" s="11" t="s">
        <v>1042</v>
      </c>
      <c r="K284" s="11" t="s">
        <v>865</v>
      </c>
      <c r="L284" s="11" t="s">
        <v>22</v>
      </c>
      <c r="M284" s="11" t="s">
        <v>1056</v>
      </c>
      <c r="N284" s="11" t="s">
        <v>261</v>
      </c>
      <c r="O284" s="11" t="s">
        <v>261</v>
      </c>
      <c r="P284" s="11" t="s">
        <v>261</v>
      </c>
      <c r="Q284" s="11" t="s">
        <v>261</v>
      </c>
      <c r="R284" s="11" t="s">
        <v>1061</v>
      </c>
      <c r="S284" s="11" t="s">
        <v>261</v>
      </c>
      <c r="T284" s="11" t="s">
        <v>261</v>
      </c>
      <c r="U284" s="11" t="s">
        <v>755</v>
      </c>
      <c r="V284" s="11" t="s">
        <v>553</v>
      </c>
      <c r="W284" s="11">
        <v>1</v>
      </c>
      <c r="X284" s="11" t="s">
        <v>1002</v>
      </c>
      <c r="Y284" s="11" t="s">
        <v>261</v>
      </c>
      <c r="Z284" s="11" t="s">
        <v>1056</v>
      </c>
      <c r="AA284" s="11" t="s">
        <v>66</v>
      </c>
      <c r="AB284" s="11" t="s">
        <v>583</v>
      </c>
      <c r="AC284" s="11" t="s">
        <v>261</v>
      </c>
      <c r="AD284" s="11" t="s">
        <v>261</v>
      </c>
      <c r="AE284" s="11" t="s">
        <v>551</v>
      </c>
      <c r="AF284" s="12" t="s">
        <v>261</v>
      </c>
      <c r="AG284" s="11" t="s">
        <v>261</v>
      </c>
    </row>
    <row r="285" spans="1:33" ht="30" x14ac:dyDescent="0.25">
      <c r="A285" s="11">
        <v>1</v>
      </c>
      <c r="B285" s="11" t="s">
        <v>261</v>
      </c>
      <c r="C285" s="11">
        <v>219890</v>
      </c>
      <c r="D285" s="11" t="s">
        <v>1035</v>
      </c>
      <c r="E285" s="11" t="str">
        <f>MID(Table2[[#This Row],[تاريخ تاييد]],1,7)</f>
        <v>1404/07</v>
      </c>
      <c r="F285" s="11" t="str">
        <f>MID(Table2[[#This Row],[تاريخ تاييد]],6,2)</f>
        <v>07</v>
      </c>
      <c r="G285" s="11" t="str">
        <f>LEFT(Table2[[#This Row],[تاريخ تاييد]],4)</f>
        <v>1404</v>
      </c>
      <c r="H285" s="11" t="str">
        <f>VLOOKUP(Table2[[#This Row],[شماره فني]],Sheet7!A:C,3,0)</f>
        <v>NOD</v>
      </c>
      <c r="I285" s="11" t="str">
        <f>VLOOKUP(Table2[[#This Row],[شماره فني]],Sheet7!A:B,2,0)</f>
        <v>NBCM DENA SBR</v>
      </c>
      <c r="J285" s="11" t="s">
        <v>1043</v>
      </c>
      <c r="K285" s="11" t="s">
        <v>865</v>
      </c>
      <c r="L285" s="11" t="s">
        <v>22</v>
      </c>
      <c r="M285" s="11" t="s">
        <v>1056</v>
      </c>
      <c r="N285" s="11" t="s">
        <v>261</v>
      </c>
      <c r="O285" s="11" t="s">
        <v>261</v>
      </c>
      <c r="P285" s="11" t="s">
        <v>261</v>
      </c>
      <c r="Q285" s="11" t="s">
        <v>261</v>
      </c>
      <c r="R285" s="12" t="s">
        <v>1059</v>
      </c>
      <c r="S285" s="11" t="s">
        <v>824</v>
      </c>
      <c r="T285" s="11" t="s">
        <v>1060</v>
      </c>
      <c r="U285" s="11" t="s">
        <v>824</v>
      </c>
      <c r="V285" s="12" t="s">
        <v>1059</v>
      </c>
      <c r="W285" s="11">
        <v>1</v>
      </c>
      <c r="X285" s="11" t="s">
        <v>702</v>
      </c>
      <c r="Y285" s="11" t="s">
        <v>261</v>
      </c>
      <c r="Z285" s="11" t="s">
        <v>1056</v>
      </c>
      <c r="AA285" s="11" t="s">
        <v>66</v>
      </c>
      <c r="AB285" s="11" t="s">
        <v>27</v>
      </c>
      <c r="AC285" s="11" t="s">
        <v>261</v>
      </c>
      <c r="AD285" s="11" t="s">
        <v>261</v>
      </c>
      <c r="AE285" s="11" t="s">
        <v>551</v>
      </c>
      <c r="AF285" s="12" t="s">
        <v>261</v>
      </c>
      <c r="AG285" s="11" t="s">
        <v>261</v>
      </c>
    </row>
    <row r="286" spans="1:33" ht="30" x14ac:dyDescent="0.25">
      <c r="A286" s="11">
        <v>1</v>
      </c>
      <c r="B286" s="11" t="s">
        <v>261</v>
      </c>
      <c r="C286" s="11">
        <v>219976</v>
      </c>
      <c r="D286" s="11" t="s">
        <v>1045</v>
      </c>
      <c r="E286" s="11" t="str">
        <f>MID(Table2[[#This Row],[تاريخ تاييد]],1,7)</f>
        <v>1404/07</v>
      </c>
      <c r="F286" s="11" t="str">
        <f>MID(Table2[[#This Row],[تاريخ تاييد]],6,2)</f>
        <v>07</v>
      </c>
      <c r="G286" s="11" t="str">
        <f>LEFT(Table2[[#This Row],[تاريخ تاييد]],4)</f>
        <v>1404</v>
      </c>
      <c r="H286" s="11" t="str">
        <f>VLOOKUP(Table2[[#This Row],[شماره فني]],Sheet7!A:C,3,0)</f>
        <v>جلو آمپر</v>
      </c>
      <c r="I286" s="11" t="str">
        <f>VLOOKUP(Table2[[#This Row],[شماره فني]],Sheet7!A:B,2,0)</f>
        <v>جلو آمپرSOREN SBR</v>
      </c>
      <c r="J286" s="11" t="s">
        <v>1048</v>
      </c>
      <c r="K286" s="11" t="s">
        <v>1135</v>
      </c>
      <c r="L286" s="11" t="s">
        <v>261</v>
      </c>
      <c r="M286" s="11" t="s">
        <v>261</v>
      </c>
      <c r="N286" s="11" t="s">
        <v>261</v>
      </c>
      <c r="O286" s="11" t="s">
        <v>261</v>
      </c>
      <c r="P286" s="11" t="s">
        <v>261</v>
      </c>
      <c r="Q286" s="11" t="s">
        <v>261</v>
      </c>
      <c r="R286" s="11" t="s">
        <v>261</v>
      </c>
      <c r="S286" s="11" t="s">
        <v>261</v>
      </c>
      <c r="T286" s="11" t="s">
        <v>261</v>
      </c>
      <c r="U286" s="11" t="s">
        <v>552</v>
      </c>
      <c r="V286" s="11" t="s">
        <v>784</v>
      </c>
      <c r="W286" s="11">
        <v>5</v>
      </c>
      <c r="X286" s="11" t="s">
        <v>1028</v>
      </c>
      <c r="Y286" s="11" t="s">
        <v>261</v>
      </c>
      <c r="Z286" s="11" t="s">
        <v>261</v>
      </c>
      <c r="AA286" s="11" t="s">
        <v>261</v>
      </c>
      <c r="AB286" s="11" t="s">
        <v>583</v>
      </c>
      <c r="AC286" s="11" t="s">
        <v>261</v>
      </c>
      <c r="AD286" s="11" t="s">
        <v>261</v>
      </c>
      <c r="AE286" s="11" t="s">
        <v>551</v>
      </c>
      <c r="AF286" s="12" t="s">
        <v>261</v>
      </c>
      <c r="AG286" s="11" t="s">
        <v>261</v>
      </c>
    </row>
    <row r="287" spans="1:33" ht="30" x14ac:dyDescent="0.25">
      <c r="A287" s="11">
        <v>1</v>
      </c>
      <c r="B287" s="11" t="s">
        <v>261</v>
      </c>
      <c r="C287" s="11">
        <v>219984</v>
      </c>
      <c r="D287" s="11" t="s">
        <v>1045</v>
      </c>
      <c r="E287" s="11" t="str">
        <f>MID(Table2[[#This Row],[تاريخ تاييد]],1,7)</f>
        <v>1404/07</v>
      </c>
      <c r="F287" s="11" t="str">
        <f>MID(Table2[[#This Row],[تاريخ تاييد]],6,2)</f>
        <v>07</v>
      </c>
      <c r="G287" s="11" t="str">
        <f>LEFT(Table2[[#This Row],[تاريخ تاييد]],4)</f>
        <v>1404</v>
      </c>
      <c r="H287" s="11" t="str">
        <f>VLOOKUP(Table2[[#This Row],[شماره فني]],Sheet7!A:C,3,0)</f>
        <v>MFD</v>
      </c>
      <c r="I287" s="11" t="str">
        <f>VLOOKUP(Table2[[#This Row],[شماره فني]],Sheet7!A:B,2,0)</f>
        <v>MFD RUNNA</v>
      </c>
      <c r="J287" s="11" t="s">
        <v>1049</v>
      </c>
      <c r="K287" s="11" t="s">
        <v>231</v>
      </c>
      <c r="L287" s="11" t="s">
        <v>261</v>
      </c>
      <c r="M287" s="11" t="s">
        <v>261</v>
      </c>
      <c r="N287" s="11" t="s">
        <v>261</v>
      </c>
      <c r="O287" s="11" t="s">
        <v>261</v>
      </c>
      <c r="P287" s="11" t="s">
        <v>261</v>
      </c>
      <c r="Q287" s="11" t="s">
        <v>261</v>
      </c>
      <c r="R287" s="11" t="s">
        <v>261</v>
      </c>
      <c r="S287" s="11" t="s">
        <v>261</v>
      </c>
      <c r="T287" s="11" t="s">
        <v>261</v>
      </c>
      <c r="U287" s="11" t="s">
        <v>552</v>
      </c>
      <c r="V287" s="11" t="s">
        <v>784</v>
      </c>
      <c r="W287" s="11">
        <v>1</v>
      </c>
      <c r="X287" s="11" t="s">
        <v>121</v>
      </c>
      <c r="Y287" s="11" t="s">
        <v>261</v>
      </c>
      <c r="Z287" s="11" t="s">
        <v>261</v>
      </c>
      <c r="AA287" s="11" t="s">
        <v>261</v>
      </c>
      <c r="AB287" s="11" t="s">
        <v>583</v>
      </c>
      <c r="AC287" s="11" t="s">
        <v>261</v>
      </c>
      <c r="AD287" s="11" t="s">
        <v>261</v>
      </c>
      <c r="AE287" s="11" t="s">
        <v>551</v>
      </c>
      <c r="AF287" s="12" t="s">
        <v>261</v>
      </c>
      <c r="AG287" s="11" t="s">
        <v>261</v>
      </c>
    </row>
    <row r="288" spans="1:33" ht="30" x14ac:dyDescent="0.25">
      <c r="A288" s="11">
        <v>1</v>
      </c>
      <c r="B288" s="11" t="s">
        <v>261</v>
      </c>
      <c r="C288" s="11">
        <v>220010</v>
      </c>
      <c r="D288" s="11" t="s">
        <v>1045</v>
      </c>
      <c r="E288" s="11" t="str">
        <f>MID(Table2[[#This Row],[تاريخ تاييد]],1,7)</f>
        <v>1404/07</v>
      </c>
      <c r="F288" s="11" t="str">
        <f>MID(Table2[[#This Row],[تاريخ تاييد]],6,2)</f>
        <v>07</v>
      </c>
      <c r="G288" s="11" t="str">
        <f>LEFT(Table2[[#This Row],[تاريخ تاييد]],4)</f>
        <v>1404</v>
      </c>
      <c r="H288" s="11" t="str">
        <f>VLOOKUP(Table2[[#This Row],[شماره فني]],Sheet7!A:C,3,0)</f>
        <v>جلو آمپر</v>
      </c>
      <c r="I288" s="11" t="str">
        <f>VLOOKUP(Table2[[#This Row],[شماره فني]],Sheet7!A:B,2,0)</f>
        <v>جلو آمپرSOREN SBR</v>
      </c>
      <c r="J288" s="11" t="s">
        <v>1050</v>
      </c>
      <c r="K288" s="11" t="s">
        <v>1135</v>
      </c>
      <c r="L288" s="11" t="s">
        <v>261</v>
      </c>
      <c r="M288" s="11" t="s">
        <v>261</v>
      </c>
      <c r="N288" s="11" t="s">
        <v>261</v>
      </c>
      <c r="O288" s="11" t="s">
        <v>261</v>
      </c>
      <c r="P288" s="11" t="s">
        <v>261</v>
      </c>
      <c r="Q288" s="11" t="s">
        <v>261</v>
      </c>
      <c r="R288" s="11" t="s">
        <v>261</v>
      </c>
      <c r="S288" s="11" t="s">
        <v>261</v>
      </c>
      <c r="T288" s="11" t="s">
        <v>261</v>
      </c>
      <c r="U288" s="11" t="s">
        <v>552</v>
      </c>
      <c r="V288" s="11" t="s">
        <v>784</v>
      </c>
      <c r="W288" s="11">
        <v>4</v>
      </c>
      <c r="X288" s="11" t="s">
        <v>1028</v>
      </c>
      <c r="Y288" s="11" t="s">
        <v>261</v>
      </c>
      <c r="Z288" s="11" t="s">
        <v>261</v>
      </c>
      <c r="AA288" s="11" t="s">
        <v>261</v>
      </c>
      <c r="AB288" s="11" t="s">
        <v>583</v>
      </c>
      <c r="AC288" s="11" t="s">
        <v>261</v>
      </c>
      <c r="AD288" s="11" t="s">
        <v>261</v>
      </c>
      <c r="AE288" s="11" t="s">
        <v>551</v>
      </c>
      <c r="AF288" s="12" t="s">
        <v>261</v>
      </c>
      <c r="AG288" s="11" t="s">
        <v>261</v>
      </c>
    </row>
    <row r="289" spans="1:33" ht="30" x14ac:dyDescent="0.25">
      <c r="A289" s="11">
        <v>1</v>
      </c>
      <c r="B289" s="11" t="s">
        <v>261</v>
      </c>
      <c r="C289" s="11">
        <v>220108</v>
      </c>
      <c r="D289" s="11" t="s">
        <v>1046</v>
      </c>
      <c r="E289" s="11" t="str">
        <f>MID(Table2[[#This Row],[تاريخ تاييد]],1,7)</f>
        <v>1404/07</v>
      </c>
      <c r="F289" s="11" t="str">
        <f>MID(Table2[[#This Row],[تاريخ تاييد]],6,2)</f>
        <v>07</v>
      </c>
      <c r="G289" s="11" t="str">
        <f>LEFT(Table2[[#This Row],[تاريخ تاييد]],4)</f>
        <v>1404</v>
      </c>
      <c r="H289" s="11" t="str">
        <f>VLOOKUP(Table2[[#This Row],[شماره فني]],Sheet7!A:C,3,0)</f>
        <v>جلو آمپر</v>
      </c>
      <c r="I289" s="11" t="str">
        <f>VLOOKUP(Table2[[#This Row],[شماره فني]],Sheet7!A:B,2,0)</f>
        <v>جلو آمپرSOREN SBR</v>
      </c>
      <c r="J289" s="11" t="s">
        <v>1051</v>
      </c>
      <c r="K289" s="11" t="s">
        <v>231</v>
      </c>
      <c r="L289" s="11" t="s">
        <v>261</v>
      </c>
      <c r="M289" s="11" t="s">
        <v>261</v>
      </c>
      <c r="N289" s="11" t="s">
        <v>261</v>
      </c>
      <c r="O289" s="11" t="s">
        <v>261</v>
      </c>
      <c r="P289" s="11" t="s">
        <v>261</v>
      </c>
      <c r="Q289" s="11" t="s">
        <v>261</v>
      </c>
      <c r="R289" s="11" t="s">
        <v>261</v>
      </c>
      <c r="S289" s="11" t="s">
        <v>261</v>
      </c>
      <c r="T289" s="11" t="s">
        <v>261</v>
      </c>
      <c r="U289" s="11" t="s">
        <v>552</v>
      </c>
      <c r="V289" s="11" t="s">
        <v>784</v>
      </c>
      <c r="W289" s="11">
        <v>20</v>
      </c>
      <c r="X289" s="11" t="s">
        <v>1028</v>
      </c>
      <c r="Y289" s="11" t="s">
        <v>261</v>
      </c>
      <c r="Z289" s="11" t="s">
        <v>261</v>
      </c>
      <c r="AA289" s="11" t="s">
        <v>261</v>
      </c>
      <c r="AB289" s="11" t="s">
        <v>583</v>
      </c>
      <c r="AC289" s="11" t="s">
        <v>261</v>
      </c>
      <c r="AD289" s="11" t="s">
        <v>261</v>
      </c>
      <c r="AE289" s="11" t="s">
        <v>551</v>
      </c>
      <c r="AF289" s="12" t="s">
        <v>261</v>
      </c>
      <c r="AG289" s="11" t="s">
        <v>261</v>
      </c>
    </row>
    <row r="290" spans="1:33" ht="30" x14ac:dyDescent="0.25">
      <c r="A290" s="11">
        <v>1</v>
      </c>
      <c r="B290" s="11" t="s">
        <v>261</v>
      </c>
      <c r="C290" s="11">
        <v>220194</v>
      </c>
      <c r="D290" s="11" t="s">
        <v>1047</v>
      </c>
      <c r="E290" s="11" t="str">
        <f>MID(Table2[[#This Row],[تاريخ تاييد]],1,7)</f>
        <v>1404/07</v>
      </c>
      <c r="F290" s="11" t="str">
        <f>MID(Table2[[#This Row],[تاريخ تاييد]],6,2)</f>
        <v>07</v>
      </c>
      <c r="G290" s="11" t="str">
        <f>LEFT(Table2[[#This Row],[تاريخ تاييد]],4)</f>
        <v>1404</v>
      </c>
      <c r="H290" s="11" t="str">
        <f>VLOOKUP(Table2[[#This Row],[شماره فني]],Sheet7!A:C,3,0)</f>
        <v>جلو آمپر</v>
      </c>
      <c r="I290" s="11" t="str">
        <f>VLOOKUP(Table2[[#This Row],[شماره فني]],Sheet7!A:B,2,0)</f>
        <v>جلو آمپر تارا اتوماتیک SBR</v>
      </c>
      <c r="J290" s="11" t="s">
        <v>1052</v>
      </c>
      <c r="K290" s="11" t="s">
        <v>851</v>
      </c>
      <c r="L290" s="11" t="s">
        <v>261</v>
      </c>
      <c r="M290" s="11" t="s">
        <v>261</v>
      </c>
      <c r="N290" s="11" t="s">
        <v>261</v>
      </c>
      <c r="O290" s="11" t="s">
        <v>261</v>
      </c>
      <c r="P290" s="11" t="s">
        <v>261</v>
      </c>
      <c r="Q290" s="11" t="s">
        <v>261</v>
      </c>
      <c r="R290" s="11" t="s">
        <v>261</v>
      </c>
      <c r="S290" s="11" t="s">
        <v>261</v>
      </c>
      <c r="T290" s="11" t="s">
        <v>261</v>
      </c>
      <c r="U290" s="11" t="s">
        <v>552</v>
      </c>
      <c r="V290" s="11" t="s">
        <v>784</v>
      </c>
      <c r="W290" s="11">
        <v>1</v>
      </c>
      <c r="X290" s="11" t="s">
        <v>1037</v>
      </c>
      <c r="Y290" s="11" t="s">
        <v>261</v>
      </c>
      <c r="Z290" s="11" t="s">
        <v>261</v>
      </c>
      <c r="AA290" s="11" t="s">
        <v>261</v>
      </c>
      <c r="AB290" s="11" t="s">
        <v>583</v>
      </c>
      <c r="AC290" s="11" t="s">
        <v>261</v>
      </c>
      <c r="AD290" s="11" t="s">
        <v>261</v>
      </c>
      <c r="AE290" s="11" t="s">
        <v>551</v>
      </c>
      <c r="AF290" s="12" t="s">
        <v>261</v>
      </c>
      <c r="AG290" s="11" t="s">
        <v>261</v>
      </c>
    </row>
    <row r="291" spans="1:33" ht="30" x14ac:dyDescent="0.25">
      <c r="A291" s="11">
        <v>1</v>
      </c>
      <c r="B291" s="11" t="s">
        <v>261</v>
      </c>
      <c r="C291" s="11">
        <v>220523</v>
      </c>
      <c r="D291" s="11" t="s">
        <v>1063</v>
      </c>
      <c r="E291" s="11" t="str">
        <f>MID(Table2[[#This Row],[تاريخ تاييد]],1,7)</f>
        <v>1404/07</v>
      </c>
      <c r="F291" s="11" t="str">
        <f>MID(Table2[[#This Row],[تاريخ تاييد]],6,2)</f>
        <v>07</v>
      </c>
      <c r="G291" s="11" t="str">
        <f>LEFT(Table2[[#This Row],[تاريخ تاييد]],4)</f>
        <v>1404</v>
      </c>
      <c r="H291" s="11" t="str">
        <f>VLOOKUP(Table2[[#This Row],[شماره فني]],Sheet7!A:C,3,0)</f>
        <v>NOD</v>
      </c>
      <c r="I291" s="11" t="str">
        <f>VLOOKUP(Table2[[#This Row],[شماره فني]],Sheet7!A:B,2,0)</f>
        <v>NBCM TARA SAL SBR</v>
      </c>
      <c r="J291" s="11" t="s">
        <v>1074</v>
      </c>
      <c r="K291" s="11" t="s">
        <v>1081</v>
      </c>
      <c r="L291" s="11" t="s">
        <v>261</v>
      </c>
      <c r="M291" s="11" t="s">
        <v>261</v>
      </c>
      <c r="N291" s="11" t="s">
        <v>261</v>
      </c>
      <c r="O291" s="11" t="s">
        <v>261</v>
      </c>
      <c r="P291" s="11" t="s">
        <v>261</v>
      </c>
      <c r="Q291" s="11" t="s">
        <v>261</v>
      </c>
      <c r="R291" s="11" t="s">
        <v>261</v>
      </c>
      <c r="S291" s="11" t="s">
        <v>261</v>
      </c>
      <c r="T291" s="11" t="s">
        <v>261</v>
      </c>
      <c r="U291" s="11" t="s">
        <v>552</v>
      </c>
      <c r="V291" s="11" t="s">
        <v>784</v>
      </c>
      <c r="W291" s="11">
        <v>1</v>
      </c>
      <c r="X291" s="11" t="s">
        <v>1002</v>
      </c>
      <c r="Y291" s="11" t="s">
        <v>261</v>
      </c>
      <c r="Z291" s="11" t="s">
        <v>261</v>
      </c>
      <c r="AA291" s="11" t="s">
        <v>261</v>
      </c>
      <c r="AB291" s="11" t="s">
        <v>583</v>
      </c>
      <c r="AC291" s="11" t="s">
        <v>261</v>
      </c>
      <c r="AD291" s="11" t="s">
        <v>261</v>
      </c>
      <c r="AE291" s="11" t="s">
        <v>551</v>
      </c>
      <c r="AF291" s="12" t="s">
        <v>261</v>
      </c>
      <c r="AG291" s="11" t="s">
        <v>261</v>
      </c>
    </row>
    <row r="292" spans="1:33" ht="30" x14ac:dyDescent="0.25">
      <c r="A292" s="11">
        <v>1</v>
      </c>
      <c r="B292" s="11" t="s">
        <v>261</v>
      </c>
      <c r="C292" s="11">
        <v>220815</v>
      </c>
      <c r="D292" s="11" t="s">
        <v>1064</v>
      </c>
      <c r="E292" s="11" t="str">
        <f>MID(Table2[[#This Row],[تاريخ تاييد]],1,7)</f>
        <v>1404/07</v>
      </c>
      <c r="F292" s="11" t="str">
        <f>MID(Table2[[#This Row],[تاريخ تاييد]],6,2)</f>
        <v>07</v>
      </c>
      <c r="G292" s="11" t="str">
        <f>LEFT(Table2[[#This Row],[تاريخ تاييد]],4)</f>
        <v>1404</v>
      </c>
      <c r="H292" s="11" t="str">
        <f>VLOOKUP(Table2[[#This Row],[شماره فني]],Sheet7!A:C,3,0)</f>
        <v>کلید شیشه بالابر</v>
      </c>
      <c r="I292" s="11" t="str">
        <f>VLOOKUP(Table2[[#This Row],[شماره فني]],Sheet7!A:B,2,0)</f>
        <v>کلید شیشه بالابرعقب 207</v>
      </c>
      <c r="J292" s="11" t="s">
        <v>1075</v>
      </c>
      <c r="K292" s="11" t="s">
        <v>723</v>
      </c>
      <c r="L292" s="11" t="s">
        <v>261</v>
      </c>
      <c r="M292" s="11" t="s">
        <v>261</v>
      </c>
      <c r="N292" s="11" t="s">
        <v>261</v>
      </c>
      <c r="O292" s="11" t="s">
        <v>261</v>
      </c>
      <c r="P292" s="11" t="s">
        <v>261</v>
      </c>
      <c r="Q292" s="11" t="s">
        <v>261</v>
      </c>
      <c r="R292" s="11" t="s">
        <v>261</v>
      </c>
      <c r="S292" s="11" t="s">
        <v>261</v>
      </c>
      <c r="T292" s="11" t="s">
        <v>261</v>
      </c>
      <c r="U292" s="11" t="s">
        <v>552</v>
      </c>
      <c r="V292" s="11" t="s">
        <v>784</v>
      </c>
      <c r="W292" s="11">
        <v>12</v>
      </c>
      <c r="X292" s="11" t="s">
        <v>1069</v>
      </c>
      <c r="Y292" s="11" t="s">
        <v>261</v>
      </c>
      <c r="Z292" s="11" t="s">
        <v>261</v>
      </c>
      <c r="AA292" s="11" t="s">
        <v>261</v>
      </c>
      <c r="AB292" s="11" t="s">
        <v>583</v>
      </c>
      <c r="AC292" s="11" t="s">
        <v>261</v>
      </c>
      <c r="AD292" s="11" t="s">
        <v>261</v>
      </c>
      <c r="AE292" s="11" t="s">
        <v>551</v>
      </c>
      <c r="AF292" s="12" t="s">
        <v>261</v>
      </c>
      <c r="AG292" s="11" t="s">
        <v>261</v>
      </c>
    </row>
    <row r="293" spans="1:33" ht="30" x14ac:dyDescent="0.25">
      <c r="A293" s="11">
        <v>1</v>
      </c>
      <c r="B293" s="11" t="s">
        <v>261</v>
      </c>
      <c r="C293" s="11">
        <v>220857</v>
      </c>
      <c r="D293" s="11" t="s">
        <v>1065</v>
      </c>
      <c r="E293" s="11" t="str">
        <f>MID(Table2[[#This Row],[تاريخ تاييد]],1,7)</f>
        <v>1404/07</v>
      </c>
      <c r="F293" s="11" t="str">
        <f>MID(Table2[[#This Row],[تاريخ تاييد]],6,2)</f>
        <v>07</v>
      </c>
      <c r="G293" s="11" t="str">
        <f>LEFT(Table2[[#This Row],[تاريخ تاييد]],4)</f>
        <v>1404</v>
      </c>
      <c r="H293" s="11" t="str">
        <f>VLOOKUP(Table2[[#This Row],[شماره فني]],Sheet7!A:C,3,0)</f>
        <v>NOD</v>
      </c>
      <c r="I293" s="11" t="str">
        <f>VLOOKUP(Table2[[#This Row],[شماره فني]],Sheet7!A:B,2,0)</f>
        <v>SBM 207 SBR</v>
      </c>
      <c r="J293" s="11" t="s">
        <v>1076</v>
      </c>
      <c r="K293" s="11" t="s">
        <v>723</v>
      </c>
      <c r="L293" s="11" t="s">
        <v>261</v>
      </c>
      <c r="M293" s="11" t="s">
        <v>261</v>
      </c>
      <c r="N293" s="11" t="s">
        <v>261</v>
      </c>
      <c r="O293" s="11" t="s">
        <v>261</v>
      </c>
      <c r="P293" s="11" t="s">
        <v>261</v>
      </c>
      <c r="Q293" s="11" t="s">
        <v>261</v>
      </c>
      <c r="R293" s="11" t="s">
        <v>261</v>
      </c>
      <c r="S293" s="11" t="s">
        <v>261</v>
      </c>
      <c r="T293" s="11" t="s">
        <v>261</v>
      </c>
      <c r="U293" s="11" t="s">
        <v>552</v>
      </c>
      <c r="V293" s="11" t="s">
        <v>552</v>
      </c>
      <c r="W293" s="11">
        <v>17</v>
      </c>
      <c r="X293" s="11" t="s">
        <v>1070</v>
      </c>
      <c r="Y293" s="11" t="s">
        <v>261</v>
      </c>
      <c r="Z293" s="11" t="s">
        <v>261</v>
      </c>
      <c r="AA293" s="11" t="s">
        <v>261</v>
      </c>
      <c r="AB293" s="11" t="s">
        <v>583</v>
      </c>
      <c r="AC293" s="11" t="s">
        <v>261</v>
      </c>
      <c r="AD293" s="11" t="s">
        <v>261</v>
      </c>
      <c r="AE293" s="11" t="s">
        <v>552</v>
      </c>
      <c r="AF293" s="12" t="s">
        <v>261</v>
      </c>
      <c r="AG293" s="11" t="s">
        <v>261</v>
      </c>
    </row>
    <row r="294" spans="1:33" ht="30" x14ac:dyDescent="0.25">
      <c r="A294" s="11">
        <v>1</v>
      </c>
      <c r="B294" s="11" t="s">
        <v>261</v>
      </c>
      <c r="C294" s="11">
        <v>220954</v>
      </c>
      <c r="D294" s="11" t="s">
        <v>1066</v>
      </c>
      <c r="E294" s="11" t="str">
        <f>MID(Table2[[#This Row],[تاريخ تاييد]],1,7)</f>
        <v>1404/07</v>
      </c>
      <c r="F294" s="11" t="str">
        <f>MID(Table2[[#This Row],[تاريخ تاييد]],6,2)</f>
        <v>07</v>
      </c>
      <c r="G294" s="11" t="str">
        <f>LEFT(Table2[[#This Row],[تاريخ تاييد]],4)</f>
        <v>1404</v>
      </c>
      <c r="H294" s="11" t="str">
        <f>VLOOKUP(Table2[[#This Row],[شماره فني]],Sheet7!A:C,3,0)</f>
        <v>NOD</v>
      </c>
      <c r="I294" s="11" t="str">
        <f>VLOOKUP(Table2[[#This Row],[شماره فني]],Sheet7!A:B,2,0)</f>
        <v>NBCM TARA SAL SBR</v>
      </c>
      <c r="J294" s="11" t="s">
        <v>1077</v>
      </c>
      <c r="K294" s="11" t="s">
        <v>334</v>
      </c>
      <c r="L294" s="11" t="s">
        <v>261</v>
      </c>
      <c r="M294" s="11" t="s">
        <v>261</v>
      </c>
      <c r="N294" s="11" t="s">
        <v>261</v>
      </c>
      <c r="O294" s="11" t="s">
        <v>261</v>
      </c>
      <c r="P294" s="11" t="s">
        <v>261</v>
      </c>
      <c r="Q294" s="11" t="s">
        <v>261</v>
      </c>
      <c r="R294" s="11" t="s">
        <v>261</v>
      </c>
      <c r="S294" s="11" t="s">
        <v>261</v>
      </c>
      <c r="T294" s="11" t="s">
        <v>261</v>
      </c>
      <c r="U294" s="11" t="s">
        <v>552</v>
      </c>
      <c r="V294" s="11" t="s">
        <v>552</v>
      </c>
      <c r="W294" s="11">
        <v>1</v>
      </c>
      <c r="X294" s="11" t="s">
        <v>1002</v>
      </c>
      <c r="Y294" s="11" t="s">
        <v>261</v>
      </c>
      <c r="Z294" s="11" t="s">
        <v>261</v>
      </c>
      <c r="AA294" s="11" t="s">
        <v>261</v>
      </c>
      <c r="AB294" s="11" t="s">
        <v>583</v>
      </c>
      <c r="AC294" s="11" t="s">
        <v>261</v>
      </c>
      <c r="AD294" s="11" t="s">
        <v>261</v>
      </c>
      <c r="AE294" s="11" t="s">
        <v>552</v>
      </c>
      <c r="AF294" s="12" t="s">
        <v>261</v>
      </c>
      <c r="AG294" s="11" t="s">
        <v>261</v>
      </c>
    </row>
    <row r="295" spans="1:33" ht="30" x14ac:dyDescent="0.25">
      <c r="A295" s="11">
        <v>1</v>
      </c>
      <c r="B295" s="11" t="s">
        <v>261</v>
      </c>
      <c r="C295" s="11">
        <v>220974</v>
      </c>
      <c r="D295" s="11" t="s">
        <v>1066</v>
      </c>
      <c r="E295" s="11" t="str">
        <f>MID(Table2[[#This Row],[تاريخ تاييد]],1,7)</f>
        <v>1404/07</v>
      </c>
      <c r="F295" s="11" t="str">
        <f>MID(Table2[[#This Row],[تاريخ تاييد]],6,2)</f>
        <v>07</v>
      </c>
      <c r="G295" s="11" t="str">
        <f>LEFT(Table2[[#This Row],[تاريخ تاييد]],4)</f>
        <v>1404</v>
      </c>
      <c r="H295" s="11" t="str">
        <f>VLOOKUP(Table2[[#This Row],[شماره فني]],Sheet7!A:C,3,0)</f>
        <v>جلو آمپر</v>
      </c>
      <c r="I295" s="11" t="str">
        <f>VLOOKUP(Table2[[#This Row],[شماره فني]],Sheet7!A:B,2,0)</f>
        <v>جلو آمپر تارا اتوماتیک SBR</v>
      </c>
      <c r="J295" s="11" t="s">
        <v>1078</v>
      </c>
      <c r="K295" s="11" t="s">
        <v>233</v>
      </c>
      <c r="L295" s="11" t="s">
        <v>261</v>
      </c>
      <c r="M295" s="11" t="s">
        <v>261</v>
      </c>
      <c r="N295" s="11" t="s">
        <v>261</v>
      </c>
      <c r="O295" s="11" t="s">
        <v>261</v>
      </c>
      <c r="P295" s="11" t="s">
        <v>261</v>
      </c>
      <c r="Q295" s="11" t="s">
        <v>261</v>
      </c>
      <c r="R295" s="11" t="s">
        <v>261</v>
      </c>
      <c r="S295" s="11" t="s">
        <v>261</v>
      </c>
      <c r="T295" s="11" t="s">
        <v>261</v>
      </c>
      <c r="U295" s="11" t="s">
        <v>552</v>
      </c>
      <c r="V295" s="11" t="s">
        <v>552</v>
      </c>
      <c r="W295" s="11">
        <v>1</v>
      </c>
      <c r="X295" s="11" t="s">
        <v>1037</v>
      </c>
      <c r="Y295" s="11" t="s">
        <v>261</v>
      </c>
      <c r="Z295" s="11" t="s">
        <v>261</v>
      </c>
      <c r="AA295" s="11" t="s">
        <v>261</v>
      </c>
      <c r="AB295" s="11" t="s">
        <v>583</v>
      </c>
      <c r="AC295" s="11" t="s">
        <v>261</v>
      </c>
      <c r="AD295" s="11" t="s">
        <v>261</v>
      </c>
      <c r="AE295" s="11" t="s">
        <v>552</v>
      </c>
      <c r="AF295" s="12" t="s">
        <v>261</v>
      </c>
      <c r="AG295" s="11" t="s">
        <v>261</v>
      </c>
    </row>
    <row r="296" spans="1:33" ht="30" x14ac:dyDescent="0.25">
      <c r="A296" s="11">
        <v>1</v>
      </c>
      <c r="B296" s="11" t="s">
        <v>261</v>
      </c>
      <c r="C296" s="11">
        <v>221088</v>
      </c>
      <c r="D296" s="11" t="s">
        <v>1067</v>
      </c>
      <c r="E296" s="11" t="str">
        <f>MID(Table2[[#This Row],[تاريخ تاييد]],1,7)</f>
        <v>1404/07</v>
      </c>
      <c r="F296" s="11" t="str">
        <f>MID(Table2[[#This Row],[تاريخ تاييد]],6,2)</f>
        <v>07</v>
      </c>
      <c r="G296" s="11" t="str">
        <f>LEFT(Table2[[#This Row],[تاريخ تاييد]],4)</f>
        <v>1404</v>
      </c>
      <c r="H296" s="11" t="str">
        <f>VLOOKUP(Table2[[#This Row],[شماره فني]],Sheet7!A:C,3,0)</f>
        <v>کلید شیشه بالابر</v>
      </c>
      <c r="I296" s="11" t="str">
        <f>VLOOKUP(Table2[[#This Row],[شماره فني]],Sheet7!A:B,2,0)</f>
        <v>کلید شیشه بالابرعقب 207</v>
      </c>
      <c r="J296" s="11" t="s">
        <v>1079</v>
      </c>
      <c r="K296" s="11" t="s">
        <v>851</v>
      </c>
      <c r="L296" s="11" t="s">
        <v>261</v>
      </c>
      <c r="M296" s="11" t="s">
        <v>261</v>
      </c>
      <c r="N296" s="11" t="s">
        <v>261</v>
      </c>
      <c r="O296" s="11" t="s">
        <v>261</v>
      </c>
      <c r="P296" s="11" t="s">
        <v>261</v>
      </c>
      <c r="Q296" s="11" t="s">
        <v>261</v>
      </c>
      <c r="R296" s="11" t="s">
        <v>261</v>
      </c>
      <c r="S296" s="11" t="s">
        <v>261</v>
      </c>
      <c r="T296" s="11" t="s">
        <v>261</v>
      </c>
      <c r="U296" s="11" t="s">
        <v>552</v>
      </c>
      <c r="V296" s="11" t="s">
        <v>784</v>
      </c>
      <c r="W296" s="11">
        <v>3</v>
      </c>
      <c r="X296" s="11" t="s">
        <v>1069</v>
      </c>
      <c r="Y296" s="11" t="s">
        <v>261</v>
      </c>
      <c r="Z296" s="11" t="s">
        <v>261</v>
      </c>
      <c r="AA296" s="11" t="s">
        <v>261</v>
      </c>
      <c r="AB296" s="11" t="s">
        <v>583</v>
      </c>
      <c r="AC296" s="11" t="s">
        <v>261</v>
      </c>
      <c r="AD296" s="11" t="s">
        <v>261</v>
      </c>
      <c r="AE296" s="11" t="s">
        <v>551</v>
      </c>
      <c r="AF296" s="12" t="s">
        <v>261</v>
      </c>
      <c r="AG296" s="11" t="s">
        <v>261</v>
      </c>
    </row>
    <row r="297" spans="1:33" ht="30" x14ac:dyDescent="0.25">
      <c r="A297" s="11">
        <v>1</v>
      </c>
      <c r="B297" s="11" t="s">
        <v>261</v>
      </c>
      <c r="C297" s="11">
        <v>221245</v>
      </c>
      <c r="D297" s="11" t="s">
        <v>1068</v>
      </c>
      <c r="E297" s="11" t="str">
        <f>MID(Table2[[#This Row],[تاريخ تاييد]],1,7)</f>
        <v>1404/07</v>
      </c>
      <c r="F297" s="11" t="str">
        <f>MID(Table2[[#This Row],[تاريخ تاييد]],6,2)</f>
        <v>07</v>
      </c>
      <c r="G297" s="11" t="str">
        <f>LEFT(Table2[[#This Row],[تاريخ تاييد]],4)</f>
        <v>1404</v>
      </c>
      <c r="H297" s="11" t="str">
        <f>VLOOKUP(Table2[[#This Row],[شماره فني]],Sheet7!A:C,3,0)</f>
        <v>جلو آمپر</v>
      </c>
      <c r="I297" s="11" t="str">
        <f>VLOOKUP(Table2[[#This Row],[شماره فني]],Sheet7!A:B,2,0)</f>
        <v>جلو آمپر تارا دستی SBR</v>
      </c>
      <c r="J297" s="11" t="s">
        <v>1080</v>
      </c>
      <c r="K297" s="11" t="s">
        <v>233</v>
      </c>
      <c r="L297" s="11" t="s">
        <v>261</v>
      </c>
      <c r="M297" s="11" t="s">
        <v>261</v>
      </c>
      <c r="N297" s="11" t="s">
        <v>261</v>
      </c>
      <c r="O297" s="11" t="s">
        <v>261</v>
      </c>
      <c r="P297" s="11" t="s">
        <v>261</v>
      </c>
      <c r="Q297" s="11" t="s">
        <v>261</v>
      </c>
      <c r="R297" s="11" t="s">
        <v>261</v>
      </c>
      <c r="S297" s="11" t="s">
        <v>261</v>
      </c>
      <c r="T297" s="11" t="s">
        <v>261</v>
      </c>
      <c r="U297" s="11" t="s">
        <v>552</v>
      </c>
      <c r="V297" s="11" t="s">
        <v>784</v>
      </c>
      <c r="W297" s="11">
        <v>1</v>
      </c>
      <c r="X297" s="11" t="s">
        <v>1005</v>
      </c>
      <c r="Y297" s="11" t="s">
        <v>261</v>
      </c>
      <c r="Z297" s="11" t="s">
        <v>261</v>
      </c>
      <c r="AA297" s="11" t="s">
        <v>261</v>
      </c>
      <c r="AB297" s="11" t="s">
        <v>583</v>
      </c>
      <c r="AC297" s="11" t="s">
        <v>261</v>
      </c>
      <c r="AD297" s="11" t="s">
        <v>261</v>
      </c>
      <c r="AE297" s="11" t="s">
        <v>551</v>
      </c>
      <c r="AF297" s="12" t="s">
        <v>261</v>
      </c>
      <c r="AG297" s="11" t="s">
        <v>261</v>
      </c>
    </row>
    <row r="298" spans="1:33" ht="30" x14ac:dyDescent="0.25">
      <c r="A298" s="11">
        <v>1</v>
      </c>
      <c r="B298" s="11" t="s">
        <v>261</v>
      </c>
      <c r="C298" s="11">
        <v>221357</v>
      </c>
      <c r="D298" s="11" t="s">
        <v>1095</v>
      </c>
      <c r="E298" s="11" t="str">
        <f>MID(Table2[[#This Row],[تاريخ تاييد]],1,7)</f>
        <v>1404/07</v>
      </c>
      <c r="F298" s="11" t="str">
        <f>MID(Table2[[#This Row],[تاريخ تاييد]],6,2)</f>
        <v>07</v>
      </c>
      <c r="G298" s="11" t="str">
        <f>LEFT(Table2[[#This Row],[تاريخ تاييد]],4)</f>
        <v>1404</v>
      </c>
      <c r="H298" s="11" t="str">
        <f>VLOOKUP(Table2[[#This Row],[شماره فني]],Sheet7!A:C,3,0)</f>
        <v>NOD</v>
      </c>
      <c r="I298" s="11" t="str">
        <f>VLOOKUP(Table2[[#This Row],[شماره فني]],Sheet7!A:B,2,0)</f>
        <v>SBM 207 SBR</v>
      </c>
      <c r="J298" s="11" t="s">
        <v>1086</v>
      </c>
      <c r="K298" s="11" t="s">
        <v>232</v>
      </c>
      <c r="L298" s="11" t="s">
        <v>22</v>
      </c>
      <c r="M298" s="11" t="s">
        <v>1156</v>
      </c>
      <c r="N298" s="11" t="s">
        <v>261</v>
      </c>
      <c r="O298" s="11" t="s">
        <v>261</v>
      </c>
      <c r="P298" s="11" t="s">
        <v>261</v>
      </c>
      <c r="Q298" s="11" t="s">
        <v>261</v>
      </c>
      <c r="R298" s="11" t="s">
        <v>261</v>
      </c>
      <c r="S298" s="11" t="s">
        <v>261</v>
      </c>
      <c r="T298" s="11" t="s">
        <v>1161</v>
      </c>
      <c r="U298" s="11" t="s">
        <v>1164</v>
      </c>
      <c r="V298" s="11" t="s">
        <v>1162</v>
      </c>
      <c r="W298" s="11">
        <v>1</v>
      </c>
      <c r="X298" s="11" t="s">
        <v>1070</v>
      </c>
      <c r="Y298" s="11" t="s">
        <v>261</v>
      </c>
      <c r="Z298" s="11" t="s">
        <v>1156</v>
      </c>
      <c r="AA298" s="11" t="s">
        <v>66</v>
      </c>
      <c r="AB298" s="11" t="s">
        <v>27</v>
      </c>
      <c r="AC298" s="11" t="s">
        <v>986</v>
      </c>
      <c r="AD298" s="11" t="s">
        <v>1163</v>
      </c>
      <c r="AE298" s="11" t="s">
        <v>551</v>
      </c>
      <c r="AF298" s="12" t="s">
        <v>261</v>
      </c>
      <c r="AG298" s="11" t="s">
        <v>261</v>
      </c>
    </row>
    <row r="299" spans="1:33" ht="30" x14ac:dyDescent="0.25">
      <c r="A299" s="11">
        <v>1</v>
      </c>
      <c r="B299" s="11" t="s">
        <v>261</v>
      </c>
      <c r="C299" s="11">
        <v>221361</v>
      </c>
      <c r="D299" s="11" t="s">
        <v>1083</v>
      </c>
      <c r="E299" s="11" t="str">
        <f>MID(Table2[[#This Row],[تاريخ تاييد]],1,7)</f>
        <v>1404/08</v>
      </c>
      <c r="F299" s="11" t="str">
        <f>MID(Table2[[#This Row],[تاريخ تاييد]],6,2)</f>
        <v>08</v>
      </c>
      <c r="G299" s="11" t="str">
        <f>LEFT(Table2[[#This Row],[تاريخ تاييد]],4)</f>
        <v>1404</v>
      </c>
      <c r="H299" s="11" t="str">
        <f>VLOOKUP(Table2[[#This Row],[شماره فني]],Sheet7!A:C,3,0)</f>
        <v>جلو آمپر</v>
      </c>
      <c r="I299" s="11" t="str">
        <f>VLOOKUP(Table2[[#This Row],[شماره فني]],Sheet7!A:B,2,0)</f>
        <v>جلو آمپرSOREN SBR</v>
      </c>
      <c r="J299" s="11" t="s">
        <v>1087</v>
      </c>
      <c r="K299" s="11" t="s">
        <v>723</v>
      </c>
      <c r="L299" s="11" t="s">
        <v>261</v>
      </c>
      <c r="M299" s="11" t="s">
        <v>261</v>
      </c>
      <c r="N299" s="11" t="s">
        <v>261</v>
      </c>
      <c r="O299" s="11" t="s">
        <v>261</v>
      </c>
      <c r="P299" s="11" t="s">
        <v>261</v>
      </c>
      <c r="Q299" s="11" t="s">
        <v>261</v>
      </c>
      <c r="R299" s="11" t="s">
        <v>261</v>
      </c>
      <c r="S299" s="11" t="s">
        <v>261</v>
      </c>
      <c r="T299" s="11" t="s">
        <v>261</v>
      </c>
      <c r="U299" s="11" t="s">
        <v>552</v>
      </c>
      <c r="V299" s="11" t="s">
        <v>784</v>
      </c>
      <c r="W299" s="11">
        <v>10</v>
      </c>
      <c r="X299" s="11" t="s">
        <v>1028</v>
      </c>
      <c r="Y299" s="11" t="s">
        <v>261</v>
      </c>
      <c r="Z299" s="11" t="s">
        <v>261</v>
      </c>
      <c r="AA299" s="11" t="s">
        <v>261</v>
      </c>
      <c r="AB299" s="11" t="s">
        <v>583</v>
      </c>
      <c r="AC299" s="11" t="s">
        <v>261</v>
      </c>
      <c r="AD299" s="11" t="s">
        <v>261</v>
      </c>
      <c r="AE299" s="11" t="s">
        <v>551</v>
      </c>
      <c r="AF299" s="12" t="s">
        <v>261</v>
      </c>
      <c r="AG299" s="11" t="s">
        <v>261</v>
      </c>
    </row>
    <row r="300" spans="1:33" ht="30" x14ac:dyDescent="0.25">
      <c r="A300" s="11">
        <v>1</v>
      </c>
      <c r="B300" s="11" t="s">
        <v>261</v>
      </c>
      <c r="C300" s="11">
        <v>221366</v>
      </c>
      <c r="D300" s="11" t="s">
        <v>1095</v>
      </c>
      <c r="E300" s="11" t="str">
        <f>MID(Table2[[#This Row],[تاريخ تاييد]],1,7)</f>
        <v>1404/07</v>
      </c>
      <c r="F300" s="11" t="str">
        <f>MID(Table2[[#This Row],[تاريخ تاييد]],6,2)</f>
        <v>07</v>
      </c>
      <c r="G300" s="11" t="str">
        <f>LEFT(Table2[[#This Row],[تاريخ تاييد]],4)</f>
        <v>1404</v>
      </c>
      <c r="H300" s="11" t="str">
        <f>VLOOKUP(Table2[[#This Row],[شماره فني]],Sheet7!A:C,3,0)</f>
        <v>کلید شیشه بالابر</v>
      </c>
      <c r="I300" s="11" t="str">
        <f>VLOOKUP(Table2[[#This Row],[شماره فني]],Sheet7!A:B,2,0)</f>
        <v>کلید شیشه بالابرعقب 207</v>
      </c>
      <c r="J300" s="11" t="s">
        <v>1088</v>
      </c>
      <c r="K300" s="11" t="s">
        <v>851</v>
      </c>
      <c r="L300" s="11" t="s">
        <v>22</v>
      </c>
      <c r="M300" s="11" t="s">
        <v>1103</v>
      </c>
      <c r="N300" s="11" t="s">
        <v>261</v>
      </c>
      <c r="O300" s="11" t="s">
        <v>261</v>
      </c>
      <c r="P300" s="11" t="s">
        <v>261</v>
      </c>
      <c r="Q300" s="11" t="s">
        <v>261</v>
      </c>
      <c r="R300" s="11" t="s">
        <v>1104</v>
      </c>
      <c r="S300" s="11" t="s">
        <v>1105</v>
      </c>
      <c r="T300" s="11" t="s">
        <v>1108</v>
      </c>
      <c r="U300" s="11" t="s">
        <v>1105</v>
      </c>
      <c r="V300" s="11" t="s">
        <v>1109</v>
      </c>
      <c r="W300" s="11">
        <v>1</v>
      </c>
      <c r="X300" s="11" t="s">
        <v>1069</v>
      </c>
      <c r="Y300" s="11" t="s">
        <v>261</v>
      </c>
      <c r="Z300" s="11" t="s">
        <v>1103</v>
      </c>
      <c r="AA300" s="11" t="s">
        <v>66</v>
      </c>
      <c r="AB300" s="11" t="s">
        <v>26</v>
      </c>
      <c r="AC300" s="11" t="s">
        <v>261</v>
      </c>
      <c r="AD300" s="11" t="s">
        <v>1127</v>
      </c>
      <c r="AE300" s="11" t="s">
        <v>551</v>
      </c>
      <c r="AF300" s="12" t="s">
        <v>261</v>
      </c>
      <c r="AG300" s="11" t="s">
        <v>348</v>
      </c>
    </row>
    <row r="301" spans="1:33" ht="30" x14ac:dyDescent="0.25">
      <c r="A301" s="11">
        <v>1</v>
      </c>
      <c r="B301" s="11" t="s">
        <v>261</v>
      </c>
      <c r="C301" s="11">
        <v>221453</v>
      </c>
      <c r="D301" s="11" t="s">
        <v>1084</v>
      </c>
      <c r="E301" s="11" t="str">
        <f>MID(Table2[[#This Row],[تاريخ تاييد]],1,7)</f>
        <v>1404/08</v>
      </c>
      <c r="F301" s="11" t="str">
        <f>MID(Table2[[#This Row],[تاريخ تاييد]],6,2)</f>
        <v>08</v>
      </c>
      <c r="G301" s="11" t="str">
        <f>LEFT(Table2[[#This Row],[تاريخ تاييد]],4)</f>
        <v>1404</v>
      </c>
      <c r="H301" s="11" t="str">
        <f>VLOOKUP(Table2[[#This Row],[شماره فني]],Sheet7!A:C,3,0)</f>
        <v>NOD</v>
      </c>
      <c r="I301" s="11" t="str">
        <f>VLOOKUP(Table2[[#This Row],[شماره فني]],Sheet7!A:B,2,0)</f>
        <v>NBCM TARA SAL SBR</v>
      </c>
      <c r="J301" s="11" t="s">
        <v>1089</v>
      </c>
      <c r="K301" s="11" t="s">
        <v>232</v>
      </c>
      <c r="L301" s="11" t="s">
        <v>22</v>
      </c>
      <c r="M301" s="11" t="s">
        <v>1103</v>
      </c>
      <c r="N301" s="11" t="s">
        <v>261</v>
      </c>
      <c r="O301" s="11" t="s">
        <v>261</v>
      </c>
      <c r="P301" s="11" t="s">
        <v>261</v>
      </c>
      <c r="Q301" s="11" t="s">
        <v>261</v>
      </c>
      <c r="R301" s="11" t="s">
        <v>261</v>
      </c>
      <c r="S301" s="11" t="s">
        <v>261</v>
      </c>
      <c r="T301" s="11" t="s">
        <v>822</v>
      </c>
      <c r="U301" s="11" t="s">
        <v>797</v>
      </c>
      <c r="V301" s="11" t="s">
        <v>561</v>
      </c>
      <c r="W301" s="11">
        <v>1</v>
      </c>
      <c r="X301" s="11" t="s">
        <v>1002</v>
      </c>
      <c r="Y301" s="11" t="s">
        <v>261</v>
      </c>
      <c r="Z301" s="11" t="s">
        <v>1103</v>
      </c>
      <c r="AA301" s="11" t="s">
        <v>66</v>
      </c>
      <c r="AB301" s="11" t="s">
        <v>28</v>
      </c>
      <c r="AC301" s="11" t="s">
        <v>261</v>
      </c>
      <c r="AD301" s="11" t="s">
        <v>261</v>
      </c>
      <c r="AE301" s="11" t="s">
        <v>755</v>
      </c>
      <c r="AF301" s="12" t="s">
        <v>261</v>
      </c>
      <c r="AG301" s="11" t="s">
        <v>261</v>
      </c>
    </row>
    <row r="302" spans="1:33" ht="30" x14ac:dyDescent="0.25">
      <c r="A302" s="11">
        <v>1</v>
      </c>
      <c r="B302" s="11" t="s">
        <v>261</v>
      </c>
      <c r="C302" s="11">
        <v>221701</v>
      </c>
      <c r="D302" s="11" t="s">
        <v>1085</v>
      </c>
      <c r="E302" s="11" t="str">
        <f>MID(Table2[[#This Row],[تاريخ تاييد]],1,7)</f>
        <v>1404/08</v>
      </c>
      <c r="F302" s="11" t="str">
        <f>MID(Table2[[#This Row],[تاريخ تاييد]],6,2)</f>
        <v>08</v>
      </c>
      <c r="G302" s="11" t="str">
        <f>LEFT(Table2[[#This Row],[تاريخ تاييد]],4)</f>
        <v>1404</v>
      </c>
      <c r="H302" s="11" t="str">
        <f>VLOOKUP(Table2[[#This Row],[شماره فني]],Sheet7!A:C,3,0)</f>
        <v>NOD</v>
      </c>
      <c r="I302" s="11" t="str">
        <f>VLOOKUP(Table2[[#This Row],[شماره فني]],Sheet7!A:B,2,0)</f>
        <v>SBM 207 SBR</v>
      </c>
      <c r="J302" s="11" t="s">
        <v>1090</v>
      </c>
      <c r="K302" s="11" t="s">
        <v>1081</v>
      </c>
      <c r="L302" s="11" t="s">
        <v>23</v>
      </c>
      <c r="M302" s="11" t="s">
        <v>1122</v>
      </c>
      <c r="N302" s="11" t="s">
        <v>23</v>
      </c>
      <c r="O302" s="11" t="s">
        <v>1143</v>
      </c>
      <c r="P302" s="11" t="s">
        <v>261</v>
      </c>
      <c r="Q302" s="11" t="s">
        <v>261</v>
      </c>
      <c r="R302" s="11" t="s">
        <v>261</v>
      </c>
      <c r="S302" s="11" t="s">
        <v>261</v>
      </c>
      <c r="T302" s="11" t="s">
        <v>261</v>
      </c>
      <c r="U302" s="11" t="s">
        <v>570</v>
      </c>
      <c r="V302" s="11" t="s">
        <v>570</v>
      </c>
      <c r="W302" s="11">
        <v>1</v>
      </c>
      <c r="X302" s="11" t="s">
        <v>1070</v>
      </c>
      <c r="Y302" s="11" t="s">
        <v>261</v>
      </c>
      <c r="Z302" s="11" t="s">
        <v>1122</v>
      </c>
      <c r="AA302" s="11" t="s">
        <v>66</v>
      </c>
      <c r="AB302" s="11" t="s">
        <v>583</v>
      </c>
      <c r="AC302" s="11" t="s">
        <v>261</v>
      </c>
      <c r="AD302" s="11" t="s">
        <v>261</v>
      </c>
      <c r="AE302" s="11" t="s">
        <v>552</v>
      </c>
      <c r="AF302" s="12" t="s">
        <v>261</v>
      </c>
      <c r="AG302" s="11" t="s">
        <v>261</v>
      </c>
    </row>
    <row r="303" spans="1:33" ht="30" x14ac:dyDescent="0.25">
      <c r="A303" s="11">
        <v>1</v>
      </c>
      <c r="B303" s="11" t="s">
        <v>261</v>
      </c>
      <c r="C303" s="11">
        <v>221702</v>
      </c>
      <c r="D303" s="11" t="s">
        <v>1085</v>
      </c>
      <c r="E303" s="11" t="str">
        <f>MID(Table2[[#This Row],[تاريخ تاييد]],1,7)</f>
        <v>1404/08</v>
      </c>
      <c r="F303" s="11" t="str">
        <f>MID(Table2[[#This Row],[تاريخ تاييد]],6,2)</f>
        <v>08</v>
      </c>
      <c r="G303" s="11" t="str">
        <f>LEFT(Table2[[#This Row],[تاريخ تاييد]],4)</f>
        <v>1404</v>
      </c>
      <c r="H303" s="11" t="str">
        <f>VLOOKUP(Table2[[#This Row],[شماره فني]],Sheet7!A:C,3,0)</f>
        <v>جلو آمپر</v>
      </c>
      <c r="I303" s="11" t="str">
        <f>VLOOKUP(Table2[[#This Row],[شماره فني]],Sheet7!A:B,2,0)</f>
        <v>جلو آمپر تارا دستی SBR</v>
      </c>
      <c r="J303" s="11" t="s">
        <v>1091</v>
      </c>
      <c r="K303" s="11" t="s">
        <v>231</v>
      </c>
      <c r="L303" s="11" t="s">
        <v>261</v>
      </c>
      <c r="M303" s="11" t="s">
        <v>261</v>
      </c>
      <c r="N303" s="11" t="s">
        <v>261</v>
      </c>
      <c r="O303" s="11" t="s">
        <v>261</v>
      </c>
      <c r="P303" s="11" t="s">
        <v>261</v>
      </c>
      <c r="Q303" s="11" t="s">
        <v>261</v>
      </c>
      <c r="R303" s="11" t="s">
        <v>261</v>
      </c>
      <c r="S303" s="11" t="s">
        <v>261</v>
      </c>
      <c r="T303" s="11" t="s">
        <v>261</v>
      </c>
      <c r="U303" s="11" t="s">
        <v>552</v>
      </c>
      <c r="V303" s="11" t="s">
        <v>552</v>
      </c>
      <c r="W303" s="11">
        <v>1</v>
      </c>
      <c r="X303" s="11" t="s">
        <v>1005</v>
      </c>
      <c r="Y303" s="11" t="s">
        <v>261</v>
      </c>
      <c r="Z303" s="11" t="s">
        <v>261</v>
      </c>
      <c r="AA303" s="11" t="s">
        <v>261</v>
      </c>
      <c r="AB303" s="11" t="s">
        <v>583</v>
      </c>
      <c r="AC303" s="11" t="s">
        <v>261</v>
      </c>
      <c r="AD303" s="11" t="s">
        <v>261</v>
      </c>
      <c r="AE303" s="11" t="s">
        <v>552</v>
      </c>
      <c r="AF303" s="12" t="s">
        <v>261</v>
      </c>
      <c r="AG303" s="11" t="s">
        <v>261</v>
      </c>
    </row>
    <row r="304" spans="1:33" ht="30" x14ac:dyDescent="0.25">
      <c r="A304" s="11">
        <v>1</v>
      </c>
      <c r="B304" s="11" t="s">
        <v>261</v>
      </c>
      <c r="C304" s="11">
        <v>221907</v>
      </c>
      <c r="D304" s="11" t="s">
        <v>1107</v>
      </c>
      <c r="E304" s="11" t="str">
        <f>MID(Table2[[#This Row],[تاريخ تاييد]],1,7)</f>
        <v>1404/08</v>
      </c>
      <c r="F304" s="11" t="str">
        <f>MID(Table2[[#This Row],[تاريخ تاييد]],6,2)</f>
        <v>08</v>
      </c>
      <c r="G304" s="11" t="str">
        <f>LEFT(Table2[[#This Row],[تاريخ تاييد]],4)</f>
        <v>1404</v>
      </c>
      <c r="H304" s="11" t="str">
        <f>VLOOKUP(Table2[[#This Row],[شماره فني]],Sheet7!A:C,3,0)</f>
        <v>کلید شیشه بالابر</v>
      </c>
      <c r="I304" s="11" t="str">
        <f>VLOOKUP(Table2[[#This Row],[شماره فني]],Sheet7!A:B,2,0)</f>
        <v>کلید شیشه بالابر جلو چپ دنا</v>
      </c>
      <c r="J304" s="11" t="s">
        <v>1106</v>
      </c>
      <c r="K304" s="11" t="s">
        <v>1098</v>
      </c>
      <c r="L304" s="11" t="s">
        <v>22</v>
      </c>
      <c r="M304" s="11" t="s">
        <v>1122</v>
      </c>
      <c r="N304" s="11" t="s">
        <v>261</v>
      </c>
      <c r="O304" s="11" t="s">
        <v>261</v>
      </c>
      <c r="P304" s="11" t="s">
        <v>261</v>
      </c>
      <c r="Q304" s="11" t="s">
        <v>261</v>
      </c>
      <c r="R304" s="11" t="s">
        <v>261</v>
      </c>
      <c r="S304" s="11" t="s">
        <v>1124</v>
      </c>
      <c r="T304" s="11" t="s">
        <v>1125</v>
      </c>
      <c r="U304" s="11" t="s">
        <v>1177</v>
      </c>
      <c r="V304" s="11" t="s">
        <v>1126</v>
      </c>
      <c r="W304" s="11">
        <v>1</v>
      </c>
      <c r="X304" s="11" t="s">
        <v>387</v>
      </c>
      <c r="Y304" s="11" t="s">
        <v>261</v>
      </c>
      <c r="Z304" s="11" t="s">
        <v>1122</v>
      </c>
      <c r="AA304" s="11" t="s">
        <v>66</v>
      </c>
      <c r="AB304" s="11" t="s">
        <v>26</v>
      </c>
      <c r="AC304" s="11" t="s">
        <v>261</v>
      </c>
      <c r="AD304" s="11" t="s">
        <v>583</v>
      </c>
      <c r="AE304" s="11" t="s">
        <v>551</v>
      </c>
      <c r="AF304" s="12" t="s">
        <v>261</v>
      </c>
      <c r="AG304" s="11" t="s">
        <v>261</v>
      </c>
    </row>
    <row r="305" spans="1:33" ht="45" x14ac:dyDescent="0.25">
      <c r="A305" s="11">
        <v>1</v>
      </c>
      <c r="B305" s="11" t="s">
        <v>261</v>
      </c>
      <c r="C305" s="11">
        <v>222120</v>
      </c>
      <c r="D305" s="11" t="s">
        <v>1110</v>
      </c>
      <c r="E305" s="11" t="str">
        <f>MID(Table2[[#This Row],[تاريخ تاييد]],1,7)</f>
        <v>1404/08</v>
      </c>
      <c r="F305" s="11" t="str">
        <f>MID(Table2[[#This Row],[تاريخ تاييد]],6,2)</f>
        <v>08</v>
      </c>
      <c r="G305" s="11" t="str">
        <f>LEFT(Table2[[#This Row],[تاريخ تاييد]],4)</f>
        <v>1404</v>
      </c>
      <c r="H305" s="11" t="str">
        <f>VLOOKUP(Table2[[#This Row],[شماره فني]],Sheet7!A:C,3,0)</f>
        <v>کلید شیشه بالابر</v>
      </c>
      <c r="I305" s="11" t="str">
        <f>VLOOKUP(Table2[[#This Row],[شماره فني]],Sheet7!A:B,2,0)</f>
        <v>کلید شیشه بالابر جلو راست سورن</v>
      </c>
      <c r="J305" s="11" t="s">
        <v>1115</v>
      </c>
      <c r="K305" s="11" t="s">
        <v>723</v>
      </c>
      <c r="L305" s="11" t="s">
        <v>261</v>
      </c>
      <c r="M305" s="11" t="s">
        <v>261</v>
      </c>
      <c r="N305" s="11" t="s">
        <v>261</v>
      </c>
      <c r="O305" s="11" t="s">
        <v>261</v>
      </c>
      <c r="P305" s="11" t="s">
        <v>261</v>
      </c>
      <c r="Q305" s="11" t="s">
        <v>261</v>
      </c>
      <c r="R305" s="11" t="s">
        <v>261</v>
      </c>
      <c r="S305" s="11" t="s">
        <v>261</v>
      </c>
      <c r="T305" s="11" t="s">
        <v>261</v>
      </c>
      <c r="U305" s="11" t="s">
        <v>552</v>
      </c>
      <c r="V305" s="11" t="s">
        <v>552</v>
      </c>
      <c r="W305" s="11">
        <v>1</v>
      </c>
      <c r="X305" s="11" t="s">
        <v>205</v>
      </c>
      <c r="Y305" s="11" t="s">
        <v>261</v>
      </c>
      <c r="Z305" s="11" t="s">
        <v>261</v>
      </c>
      <c r="AA305" s="11" t="s">
        <v>261</v>
      </c>
      <c r="AB305" s="11" t="s">
        <v>583</v>
      </c>
      <c r="AC305" s="11" t="s">
        <v>261</v>
      </c>
      <c r="AD305" s="11" t="s">
        <v>261</v>
      </c>
      <c r="AE305" s="11" t="s">
        <v>552</v>
      </c>
      <c r="AF305" s="12" t="s">
        <v>261</v>
      </c>
      <c r="AG305" s="11" t="s">
        <v>261</v>
      </c>
    </row>
    <row r="306" spans="1:33" ht="30" x14ac:dyDescent="0.25">
      <c r="A306" s="11">
        <v>1</v>
      </c>
      <c r="B306" s="11" t="s">
        <v>261</v>
      </c>
      <c r="C306" s="11">
        <v>222129</v>
      </c>
      <c r="D306" s="11" t="s">
        <v>1111</v>
      </c>
      <c r="E306" s="11" t="str">
        <f>MID(Table2[[#This Row],[تاريخ تاييد]],1,7)</f>
        <v>1404/08</v>
      </c>
      <c r="F306" s="11" t="str">
        <f>MID(Table2[[#This Row],[تاريخ تاييد]],6,2)</f>
        <v>08</v>
      </c>
      <c r="G306" s="11" t="str">
        <f>LEFT(Table2[[#This Row],[تاريخ تاييد]],4)</f>
        <v>1404</v>
      </c>
      <c r="H306" s="11" t="str">
        <f>VLOOKUP(Table2[[#This Row],[شماره فني]],Sheet7!A:C,3,0)</f>
        <v>NOD</v>
      </c>
      <c r="I306" s="11" t="str">
        <f>VLOOKUP(Table2[[#This Row],[شماره فني]],Sheet7!A:B,2,0)</f>
        <v>SBM 207 SBR</v>
      </c>
      <c r="J306" s="11" t="s">
        <v>1116</v>
      </c>
      <c r="K306" s="11" t="s">
        <v>334</v>
      </c>
      <c r="L306" s="11" t="s">
        <v>22</v>
      </c>
      <c r="M306" s="11" t="s">
        <v>1122</v>
      </c>
      <c r="N306" s="11" t="s">
        <v>261</v>
      </c>
      <c r="O306" s="11" t="s">
        <v>261</v>
      </c>
      <c r="P306" s="11" t="s">
        <v>261</v>
      </c>
      <c r="Q306" s="11" t="s">
        <v>261</v>
      </c>
      <c r="R306" s="11" t="s">
        <v>261</v>
      </c>
      <c r="S306" s="11" t="s">
        <v>1123</v>
      </c>
      <c r="T306" s="11" t="s">
        <v>829</v>
      </c>
      <c r="U306" s="11" t="s">
        <v>1123</v>
      </c>
      <c r="V306" s="11" t="s">
        <v>553</v>
      </c>
      <c r="W306" s="11">
        <v>1</v>
      </c>
      <c r="X306" s="11" t="s">
        <v>1070</v>
      </c>
      <c r="Y306" s="11" t="s">
        <v>261</v>
      </c>
      <c r="Z306" s="11" t="s">
        <v>1122</v>
      </c>
      <c r="AA306" s="11" t="s">
        <v>66</v>
      </c>
      <c r="AB306" s="11" t="s">
        <v>583</v>
      </c>
      <c r="AC306" s="11" t="s">
        <v>261</v>
      </c>
      <c r="AD306" s="11" t="s">
        <v>261</v>
      </c>
      <c r="AE306" s="11" t="s">
        <v>551</v>
      </c>
      <c r="AF306" s="12" t="s">
        <v>261</v>
      </c>
      <c r="AG306" s="11" t="s">
        <v>261</v>
      </c>
    </row>
    <row r="307" spans="1:33" ht="30" x14ac:dyDescent="0.25">
      <c r="A307" s="11">
        <v>1</v>
      </c>
      <c r="B307" s="11" t="s">
        <v>261</v>
      </c>
      <c r="C307" s="11">
        <v>222256</v>
      </c>
      <c r="D307" s="11" t="s">
        <v>1110</v>
      </c>
      <c r="E307" s="11" t="str">
        <f>MID(Table2[[#This Row],[تاريخ تاييد]],1,7)</f>
        <v>1404/08</v>
      </c>
      <c r="F307" s="11" t="str">
        <f>MID(Table2[[#This Row],[تاريخ تاييد]],6,2)</f>
        <v>08</v>
      </c>
      <c r="G307" s="11" t="str">
        <f>LEFT(Table2[[#This Row],[تاريخ تاييد]],4)</f>
        <v>1404</v>
      </c>
      <c r="H307" s="11" t="str">
        <f>VLOOKUP(Table2[[#This Row],[شماره فني]],Sheet7!A:C,3,0)</f>
        <v>NOD</v>
      </c>
      <c r="I307" s="11" t="str">
        <f>VLOOKUP(Table2[[#This Row],[شماره فني]],Sheet7!A:B,2,0)</f>
        <v>NBCM TARA SAL SBR</v>
      </c>
      <c r="J307" s="11" t="s">
        <v>1117</v>
      </c>
      <c r="K307" s="11" t="s">
        <v>1121</v>
      </c>
      <c r="L307" s="11" t="s">
        <v>22</v>
      </c>
      <c r="M307" s="11" t="s">
        <v>1122</v>
      </c>
      <c r="N307" s="11" t="s">
        <v>261</v>
      </c>
      <c r="O307" s="11" t="s">
        <v>261</v>
      </c>
      <c r="P307" s="11" t="s">
        <v>261</v>
      </c>
      <c r="Q307" s="11" t="s">
        <v>261</v>
      </c>
      <c r="R307" s="11" t="s">
        <v>261</v>
      </c>
      <c r="S307" s="11" t="s">
        <v>1152</v>
      </c>
      <c r="T307" s="11" t="s">
        <v>261</v>
      </c>
      <c r="U307" s="11" t="s">
        <v>1152</v>
      </c>
      <c r="V307" s="11" t="s">
        <v>1152</v>
      </c>
      <c r="W307" s="11">
        <v>2</v>
      </c>
      <c r="X307" s="11" t="s">
        <v>1002</v>
      </c>
      <c r="Y307" s="11" t="s">
        <v>261</v>
      </c>
      <c r="Z307" s="11" t="s">
        <v>1122</v>
      </c>
      <c r="AA307" s="11" t="s">
        <v>66</v>
      </c>
      <c r="AB307" s="11" t="s">
        <v>26</v>
      </c>
      <c r="AC307" s="11" t="s">
        <v>261</v>
      </c>
      <c r="AD307" s="11" t="s">
        <v>1153</v>
      </c>
      <c r="AE307" s="11" t="s">
        <v>755</v>
      </c>
      <c r="AF307" s="12" t="s">
        <v>261</v>
      </c>
      <c r="AG307" s="11" t="s">
        <v>261</v>
      </c>
    </row>
    <row r="308" spans="1:33" ht="30" x14ac:dyDescent="0.25">
      <c r="A308" s="11">
        <v>1</v>
      </c>
      <c r="B308" s="11" t="s">
        <v>261</v>
      </c>
      <c r="C308" s="11">
        <v>222386</v>
      </c>
      <c r="D308" s="11" t="s">
        <v>1112</v>
      </c>
      <c r="E308" s="11" t="str">
        <f>MID(Table2[[#This Row],[تاريخ تاييد]],1,7)</f>
        <v>1404/08</v>
      </c>
      <c r="F308" s="11" t="str">
        <f>MID(Table2[[#This Row],[تاريخ تاييد]],6,2)</f>
        <v>08</v>
      </c>
      <c r="G308" s="11" t="str">
        <f>LEFT(Table2[[#This Row],[تاريخ تاييد]],4)</f>
        <v>1404</v>
      </c>
      <c r="H308" s="11" t="str">
        <f>VLOOKUP(Table2[[#This Row],[شماره فني]],Sheet7!A:C,3,0)</f>
        <v>NOD</v>
      </c>
      <c r="I308" s="11" t="str">
        <f>VLOOKUP(Table2[[#This Row],[شماره فني]],Sheet7!A:B,2,0)</f>
        <v>NBCM TARA SAL SBR</v>
      </c>
      <c r="J308" s="11" t="s">
        <v>1118</v>
      </c>
      <c r="K308" s="11" t="s">
        <v>334</v>
      </c>
      <c r="L308" s="11" t="s">
        <v>22</v>
      </c>
      <c r="M308" s="11" t="s">
        <v>1156</v>
      </c>
      <c r="N308" s="11" t="s">
        <v>261</v>
      </c>
      <c r="O308" s="11" t="s">
        <v>261</v>
      </c>
      <c r="P308" s="11" t="s">
        <v>261</v>
      </c>
      <c r="Q308" s="11" t="s">
        <v>261</v>
      </c>
      <c r="R308" s="11" t="s">
        <v>261</v>
      </c>
      <c r="S308" s="11" t="s">
        <v>1171</v>
      </c>
      <c r="T308" s="11" t="s">
        <v>230</v>
      </c>
      <c r="U308" s="11" t="s">
        <v>797</v>
      </c>
      <c r="V308" s="11" t="s">
        <v>561</v>
      </c>
      <c r="W308" s="11">
        <v>1</v>
      </c>
      <c r="X308" s="11" t="s">
        <v>1002</v>
      </c>
      <c r="Y308" s="11" t="s">
        <v>261</v>
      </c>
      <c r="Z308" s="11" t="s">
        <v>1156</v>
      </c>
      <c r="AA308" s="11" t="s">
        <v>66</v>
      </c>
      <c r="AB308" s="11" t="s">
        <v>28</v>
      </c>
      <c r="AC308" s="11" t="s">
        <v>261</v>
      </c>
      <c r="AD308" s="11" t="s">
        <v>261</v>
      </c>
      <c r="AE308" s="11" t="s">
        <v>755</v>
      </c>
      <c r="AF308" s="12" t="s">
        <v>261</v>
      </c>
      <c r="AG308" s="11" t="s">
        <v>261</v>
      </c>
    </row>
    <row r="309" spans="1:33" ht="30" x14ac:dyDescent="0.25">
      <c r="A309" s="11">
        <v>1</v>
      </c>
      <c r="B309" s="11" t="s">
        <v>261</v>
      </c>
      <c r="C309" s="11">
        <v>222434</v>
      </c>
      <c r="D309" s="11" t="s">
        <v>1113</v>
      </c>
      <c r="E309" s="11" t="str">
        <f>MID(Table2[[#This Row],[تاريخ تاييد]],1,7)</f>
        <v>1404/08</v>
      </c>
      <c r="F309" s="11" t="str">
        <f>MID(Table2[[#This Row],[تاريخ تاييد]],6,2)</f>
        <v>08</v>
      </c>
      <c r="G309" s="11" t="str">
        <f>LEFT(Table2[[#This Row],[تاريخ تاييد]],4)</f>
        <v>1404</v>
      </c>
      <c r="H309" s="11" t="str">
        <f>VLOOKUP(Table2[[#This Row],[شماره فني]],Sheet7!A:C,3,0)</f>
        <v>کلید شیشه بالابر</v>
      </c>
      <c r="I309" s="11" t="str">
        <f>VLOOKUP(Table2[[#This Row],[شماره فني]],Sheet7!A:B,2,0)</f>
        <v xml:space="preserve">کلید شیشه بالابر عقب چپ سورن SBR </v>
      </c>
      <c r="J309" s="11" t="s">
        <v>1119</v>
      </c>
      <c r="K309" s="11" t="s">
        <v>851</v>
      </c>
      <c r="L309" s="11" t="s">
        <v>261</v>
      </c>
      <c r="M309" s="11" t="s">
        <v>261</v>
      </c>
      <c r="N309" s="11" t="s">
        <v>261</v>
      </c>
      <c r="O309" s="11" t="s">
        <v>261</v>
      </c>
      <c r="P309" s="11" t="s">
        <v>261</v>
      </c>
      <c r="Q309" s="11" t="s">
        <v>261</v>
      </c>
      <c r="R309" s="11" t="s">
        <v>261</v>
      </c>
      <c r="S309" s="11" t="s">
        <v>261</v>
      </c>
      <c r="T309" s="11" t="s">
        <v>261</v>
      </c>
      <c r="U309" s="11" t="s">
        <v>552</v>
      </c>
      <c r="V309" s="11" t="s">
        <v>784</v>
      </c>
      <c r="W309" s="11">
        <v>1</v>
      </c>
      <c r="X309" s="11" t="s">
        <v>1114</v>
      </c>
      <c r="Y309" s="11" t="s">
        <v>261</v>
      </c>
      <c r="Z309" s="11" t="s">
        <v>261</v>
      </c>
      <c r="AA309" s="11" t="s">
        <v>261</v>
      </c>
      <c r="AB309" s="11" t="s">
        <v>583</v>
      </c>
      <c r="AC309" s="11" t="s">
        <v>261</v>
      </c>
      <c r="AD309" s="11" t="s">
        <v>261</v>
      </c>
      <c r="AE309" s="11" t="s">
        <v>551</v>
      </c>
      <c r="AF309" s="12" t="s">
        <v>261</v>
      </c>
      <c r="AG309" s="11" t="s">
        <v>261</v>
      </c>
    </row>
    <row r="310" spans="1:33" ht="30" x14ac:dyDescent="0.25">
      <c r="A310" s="11">
        <v>1</v>
      </c>
      <c r="B310" s="11" t="s">
        <v>261</v>
      </c>
      <c r="C310" s="11">
        <v>222739</v>
      </c>
      <c r="D310" s="11" t="s">
        <v>1130</v>
      </c>
      <c r="E310" s="11" t="str">
        <f>MID(Table2[[#This Row],[تاريخ تاييد]],1,7)</f>
        <v>1404/08</v>
      </c>
      <c r="F310" s="11" t="str">
        <f>MID(Table2[[#This Row],[تاريخ تاييد]],6,2)</f>
        <v>08</v>
      </c>
      <c r="G310" s="11" t="str">
        <f>LEFT(Table2[[#This Row],[تاريخ تاييد]],4)</f>
        <v>1404</v>
      </c>
      <c r="H310" s="11" t="str">
        <f>VLOOKUP(Table2[[#This Row],[شماره فني]],Sheet7!A:C,3,0)</f>
        <v>کلید شیشه بالابر</v>
      </c>
      <c r="I310" s="11" t="str">
        <f>VLOOKUP(Table2[[#This Row],[شماره فني]],Sheet7!A:B,2,0)</f>
        <v xml:space="preserve">کلید شیشه بالابر عقب چپ سورن SBR </v>
      </c>
      <c r="J310" s="11" t="s">
        <v>1154</v>
      </c>
      <c r="K310" s="11" t="s">
        <v>723</v>
      </c>
      <c r="L310" s="11" t="s">
        <v>261</v>
      </c>
      <c r="M310" s="11" t="s">
        <v>261</v>
      </c>
      <c r="N310" s="11" t="s">
        <v>261</v>
      </c>
      <c r="O310" s="11" t="s">
        <v>261</v>
      </c>
      <c r="P310" s="11" t="s">
        <v>261</v>
      </c>
      <c r="Q310" s="11" t="s">
        <v>261</v>
      </c>
      <c r="R310" s="11" t="s">
        <v>261</v>
      </c>
      <c r="S310" s="11" t="s">
        <v>261</v>
      </c>
      <c r="T310" s="11" t="s">
        <v>261</v>
      </c>
      <c r="U310" s="11" t="s">
        <v>552</v>
      </c>
      <c r="V310" s="11" t="s">
        <v>552</v>
      </c>
      <c r="W310" s="11">
        <v>3</v>
      </c>
      <c r="X310" s="11" t="s">
        <v>1114</v>
      </c>
      <c r="Y310" s="11" t="s">
        <v>261</v>
      </c>
      <c r="Z310" s="11" t="s">
        <v>261</v>
      </c>
      <c r="AA310" s="11" t="s">
        <v>261</v>
      </c>
      <c r="AB310" s="11" t="s">
        <v>583</v>
      </c>
      <c r="AC310" s="11" t="s">
        <v>261</v>
      </c>
      <c r="AD310" s="11" t="s">
        <v>261</v>
      </c>
      <c r="AE310" s="11" t="s">
        <v>552</v>
      </c>
      <c r="AF310" s="12" t="s">
        <v>261</v>
      </c>
      <c r="AG310" s="11" t="s">
        <v>261</v>
      </c>
    </row>
    <row r="311" spans="1:33" ht="30" x14ac:dyDescent="0.25">
      <c r="A311" s="11">
        <v>1</v>
      </c>
      <c r="B311" s="11" t="s">
        <v>261</v>
      </c>
      <c r="C311" s="11">
        <v>222741</v>
      </c>
      <c r="D311" s="11" t="s">
        <v>1130</v>
      </c>
      <c r="E311" s="11" t="str">
        <f>MID(Table2[[#This Row],[تاريخ تاييد]],1,7)</f>
        <v>1404/08</v>
      </c>
      <c r="F311" s="11" t="str">
        <f>MID(Table2[[#This Row],[تاريخ تاييد]],6,2)</f>
        <v>08</v>
      </c>
      <c r="G311" s="11" t="str">
        <f>LEFT(Table2[[#This Row],[تاريخ تاييد]],4)</f>
        <v>1404</v>
      </c>
      <c r="H311" s="11" t="str">
        <f>VLOOKUP(Table2[[#This Row],[شماره فني]],Sheet7!A:C,3,0)</f>
        <v>کلید شیشه بالابر</v>
      </c>
      <c r="I311" s="11" t="str">
        <f>VLOOKUP(Table2[[#This Row],[شماره فني]],Sheet7!A:B,2,0)</f>
        <v xml:space="preserve">کلید شیشه بالابر عقب چپ سورن SBR </v>
      </c>
      <c r="J311" s="11" t="s">
        <v>1155</v>
      </c>
      <c r="K311" s="11" t="s">
        <v>723</v>
      </c>
      <c r="L311" s="11" t="s">
        <v>261</v>
      </c>
      <c r="M311" s="11" t="s">
        <v>261</v>
      </c>
      <c r="N311" s="11" t="s">
        <v>261</v>
      </c>
      <c r="O311" s="11" t="s">
        <v>261</v>
      </c>
      <c r="P311" s="11" t="s">
        <v>261</v>
      </c>
      <c r="Q311" s="11" t="s">
        <v>261</v>
      </c>
      <c r="R311" s="11" t="s">
        <v>261</v>
      </c>
      <c r="S311" s="11" t="s">
        <v>261</v>
      </c>
      <c r="T311" s="11" t="s">
        <v>261</v>
      </c>
      <c r="U311" s="11" t="s">
        <v>552</v>
      </c>
      <c r="V311" s="11" t="s">
        <v>552</v>
      </c>
      <c r="W311" s="11">
        <v>3</v>
      </c>
      <c r="X311" s="11" t="s">
        <v>1114</v>
      </c>
      <c r="Y311" s="11" t="s">
        <v>261</v>
      </c>
      <c r="Z311" s="11" t="s">
        <v>261</v>
      </c>
      <c r="AA311" s="11" t="s">
        <v>261</v>
      </c>
      <c r="AB311" s="11" t="s">
        <v>583</v>
      </c>
      <c r="AC311" s="11" t="s">
        <v>261</v>
      </c>
      <c r="AD311" s="11" t="s">
        <v>261</v>
      </c>
      <c r="AE311" s="11" t="s">
        <v>552</v>
      </c>
      <c r="AF311" s="12" t="s">
        <v>261</v>
      </c>
      <c r="AG311" s="11" t="s">
        <v>261</v>
      </c>
    </row>
    <row r="312" spans="1:33" ht="30" x14ac:dyDescent="0.25">
      <c r="A312" s="11">
        <v>1</v>
      </c>
      <c r="B312" s="11" t="s">
        <v>261</v>
      </c>
      <c r="C312" s="11">
        <v>222848</v>
      </c>
      <c r="D312" s="11" t="s">
        <v>1130</v>
      </c>
      <c r="E312" s="11" t="str">
        <f>MID(Table2[[#This Row],[تاريخ تاييد]],1,7)</f>
        <v>1404/08</v>
      </c>
      <c r="F312" s="11" t="str">
        <f>MID(Table2[[#This Row],[تاريخ تاييد]],6,2)</f>
        <v>08</v>
      </c>
      <c r="G312" s="11" t="str">
        <f>LEFT(Table2[[#This Row],[تاريخ تاييد]],4)</f>
        <v>1404</v>
      </c>
      <c r="H312" s="11" t="str">
        <f>VLOOKUP(Table2[[#This Row],[شماره فني]],Sheet7!A:C,3,0)</f>
        <v>جلو آمپر</v>
      </c>
      <c r="I312" s="11" t="str">
        <f>VLOOKUP(Table2[[#This Row],[شماره فني]],Sheet7!A:B,2,0)</f>
        <v>جلو آمپر دنا اتوماتیک SBR</v>
      </c>
      <c r="J312" s="11" t="s">
        <v>1132</v>
      </c>
      <c r="K312" s="11" t="s">
        <v>938</v>
      </c>
      <c r="L312" s="11" t="s">
        <v>23</v>
      </c>
      <c r="M312" s="11" t="s">
        <v>1156</v>
      </c>
      <c r="N312" s="11" t="s">
        <v>23</v>
      </c>
      <c r="O312" s="11" t="s">
        <v>1170</v>
      </c>
      <c r="P312" s="11" t="s">
        <v>261</v>
      </c>
      <c r="Q312" s="11" t="s">
        <v>261</v>
      </c>
      <c r="R312" s="11" t="s">
        <v>261</v>
      </c>
      <c r="S312" s="11" t="s">
        <v>1171</v>
      </c>
      <c r="T312" s="11" t="s">
        <v>1179</v>
      </c>
      <c r="U312" s="11" t="s">
        <v>797</v>
      </c>
      <c r="V312" s="11" t="s">
        <v>561</v>
      </c>
      <c r="W312" s="11">
        <v>1</v>
      </c>
      <c r="X312" s="11" t="s">
        <v>843</v>
      </c>
      <c r="Y312" s="11" t="s">
        <v>261</v>
      </c>
      <c r="Z312" s="11" t="s">
        <v>1156</v>
      </c>
      <c r="AA312" s="11" t="s">
        <v>66</v>
      </c>
      <c r="AB312" s="11" t="s">
        <v>28</v>
      </c>
      <c r="AC312" s="11" t="s">
        <v>261</v>
      </c>
      <c r="AD312" s="11" t="s">
        <v>261</v>
      </c>
      <c r="AE312" s="11" t="s">
        <v>755</v>
      </c>
      <c r="AF312" s="12" t="s">
        <v>261</v>
      </c>
      <c r="AG312" s="11" t="s">
        <v>261</v>
      </c>
    </row>
    <row r="313" spans="1:33" ht="30" x14ac:dyDescent="0.25">
      <c r="A313" s="11">
        <v>1</v>
      </c>
      <c r="B313" s="11" t="s">
        <v>261</v>
      </c>
      <c r="C313" s="11">
        <v>222892</v>
      </c>
      <c r="D313" s="11" t="s">
        <v>1122</v>
      </c>
      <c r="E313" s="11" t="str">
        <f>MID(Table2[[#This Row],[تاريخ تاييد]],1,7)</f>
        <v>1404/08</v>
      </c>
      <c r="F313" s="11" t="str">
        <f>MID(Table2[[#This Row],[تاريخ تاييد]],6,2)</f>
        <v>08</v>
      </c>
      <c r="G313" s="11" t="str">
        <f>LEFT(Table2[[#This Row],[تاريخ تاييد]],4)</f>
        <v>1404</v>
      </c>
      <c r="H313" s="11" t="str">
        <f>VLOOKUP(Table2[[#This Row],[شماره فني]],Sheet7!A:C,3,0)</f>
        <v>NOD</v>
      </c>
      <c r="I313" s="11" t="str">
        <f>VLOOKUP(Table2[[#This Row],[شماره فني]],Sheet7!A:B,2,0)</f>
        <v>SBM SOREN SBR</v>
      </c>
      <c r="J313" s="11" t="s">
        <v>1133</v>
      </c>
      <c r="K313" s="11" t="s">
        <v>730</v>
      </c>
      <c r="L313" s="11" t="s">
        <v>261</v>
      </c>
      <c r="M313" s="11" t="s">
        <v>261</v>
      </c>
      <c r="N313" s="11" t="s">
        <v>261</v>
      </c>
      <c r="O313" s="11" t="s">
        <v>261</v>
      </c>
      <c r="P313" s="11" t="s">
        <v>261</v>
      </c>
      <c r="Q313" s="11" t="s">
        <v>261</v>
      </c>
      <c r="R313" s="11" t="s">
        <v>261</v>
      </c>
      <c r="S313" s="11" t="s">
        <v>261</v>
      </c>
      <c r="T313" s="11" t="s">
        <v>261</v>
      </c>
      <c r="U313" s="11" t="s">
        <v>552</v>
      </c>
      <c r="V313" s="11" t="s">
        <v>552</v>
      </c>
      <c r="W313" s="11">
        <v>1</v>
      </c>
      <c r="X313" s="11" t="s">
        <v>1128</v>
      </c>
      <c r="Y313" s="11" t="s">
        <v>261</v>
      </c>
      <c r="Z313" s="11" t="s">
        <v>261</v>
      </c>
      <c r="AA313" s="11" t="s">
        <v>261</v>
      </c>
      <c r="AB313" s="11" t="s">
        <v>583</v>
      </c>
      <c r="AC313" s="11" t="s">
        <v>261</v>
      </c>
      <c r="AD313" s="11" t="s">
        <v>261</v>
      </c>
      <c r="AE313" s="11" t="s">
        <v>552</v>
      </c>
      <c r="AF313" s="12" t="s">
        <v>261</v>
      </c>
      <c r="AG313" s="11" t="s">
        <v>261</v>
      </c>
    </row>
    <row r="314" spans="1:33" ht="30" x14ac:dyDescent="0.25">
      <c r="A314" s="11">
        <v>1</v>
      </c>
      <c r="B314" s="11" t="s">
        <v>261</v>
      </c>
      <c r="C314" s="11">
        <v>223094</v>
      </c>
      <c r="D314" s="11" t="s">
        <v>1131</v>
      </c>
      <c r="E314" s="11" t="str">
        <f>MID(Table2[[#This Row],[تاريخ تاييد]],1,7)</f>
        <v>1404/09</v>
      </c>
      <c r="F314" s="11" t="str">
        <f>MID(Table2[[#This Row],[تاريخ تاييد]],6,2)</f>
        <v>09</v>
      </c>
      <c r="G314" s="11" t="str">
        <f>LEFT(Table2[[#This Row],[تاريخ تاييد]],4)</f>
        <v>1404</v>
      </c>
      <c r="H314" s="11" t="str">
        <f>VLOOKUP(Table2[[#This Row],[شماره فني]],Sheet7!A:C,3,0)</f>
        <v>کلید شیشه بالابر</v>
      </c>
      <c r="I314" s="11" t="str">
        <f>VLOOKUP(Table2[[#This Row],[شماره فني]],Sheet7!A:B,2,0)</f>
        <v xml:space="preserve">کلید شیشه بالابر عقب راست سورن SBR </v>
      </c>
      <c r="J314" s="11" t="s">
        <v>1134</v>
      </c>
      <c r="K314" s="11" t="s">
        <v>723</v>
      </c>
      <c r="L314" s="11" t="s">
        <v>261</v>
      </c>
      <c r="M314" s="11" t="s">
        <v>261</v>
      </c>
      <c r="N314" s="11" t="s">
        <v>261</v>
      </c>
      <c r="O314" s="11" t="s">
        <v>261</v>
      </c>
      <c r="P314" s="11" t="s">
        <v>261</v>
      </c>
      <c r="Q314" s="11" t="s">
        <v>261</v>
      </c>
      <c r="R314" s="11" t="s">
        <v>261</v>
      </c>
      <c r="S314" s="11" t="s">
        <v>261</v>
      </c>
      <c r="T314" s="11" t="s">
        <v>261</v>
      </c>
      <c r="U314" s="11" t="s">
        <v>552</v>
      </c>
      <c r="V314" s="11" t="s">
        <v>552</v>
      </c>
      <c r="W314" s="11">
        <v>10</v>
      </c>
      <c r="X314" s="11" t="s">
        <v>1129</v>
      </c>
      <c r="Y314" s="11" t="s">
        <v>261</v>
      </c>
      <c r="Z314" s="11" t="s">
        <v>261</v>
      </c>
      <c r="AA314" s="11" t="s">
        <v>261</v>
      </c>
      <c r="AB314" s="11" t="s">
        <v>583</v>
      </c>
      <c r="AC314" s="11" t="s">
        <v>261</v>
      </c>
      <c r="AD314" s="11" t="s">
        <v>261</v>
      </c>
      <c r="AE314" s="11" t="s">
        <v>552</v>
      </c>
      <c r="AF314" s="12" t="s">
        <v>261</v>
      </c>
      <c r="AG314" s="11" t="s">
        <v>261</v>
      </c>
    </row>
    <row r="315" spans="1:33" ht="30" x14ac:dyDescent="0.25">
      <c r="A315" s="11">
        <v>1</v>
      </c>
      <c r="B315" s="11" t="s">
        <v>261</v>
      </c>
      <c r="C315" s="11">
        <v>223129</v>
      </c>
      <c r="D315" s="11" t="s">
        <v>1139</v>
      </c>
      <c r="E315" s="11" t="str">
        <f>MID(Table2[[#This Row],[تاريخ تاييد]],1,7)</f>
        <v>1404/09</v>
      </c>
      <c r="F315" s="11" t="str">
        <f>MID(Table2[[#This Row],[تاريخ تاييد]],6,2)</f>
        <v>09</v>
      </c>
      <c r="G315" s="11" t="str">
        <f>LEFT(Table2[[#This Row],[تاريخ تاييد]],4)</f>
        <v>1404</v>
      </c>
      <c r="H315" s="11" t="str">
        <f>VLOOKUP(Table2[[#This Row],[شماره فني]],Sheet7!A:C,3,0)</f>
        <v>جلو آمپر</v>
      </c>
      <c r="I315" s="11" t="str">
        <f>VLOOKUP(Table2[[#This Row],[شماره فني]],Sheet7!A:B,2,0)</f>
        <v>جلو آمپر دنا SBR</v>
      </c>
      <c r="J315" s="11" t="s">
        <v>1146</v>
      </c>
      <c r="K315" s="11" t="s">
        <v>952</v>
      </c>
      <c r="L315" s="11" t="s">
        <v>22</v>
      </c>
      <c r="M315" s="11" t="s">
        <v>1156</v>
      </c>
      <c r="N315" s="11" t="s">
        <v>261</v>
      </c>
      <c r="O315" s="11" t="s">
        <v>261</v>
      </c>
      <c r="P315" s="11" t="s">
        <v>261</v>
      </c>
      <c r="Q315" s="11" t="s">
        <v>261</v>
      </c>
      <c r="R315" s="11" t="s">
        <v>261</v>
      </c>
      <c r="S315" s="11"/>
      <c r="T315" s="11" t="s">
        <v>1157</v>
      </c>
      <c r="U315" s="11" t="s">
        <v>797</v>
      </c>
      <c r="V315" s="11" t="s">
        <v>561</v>
      </c>
      <c r="W315" s="11">
        <v>1</v>
      </c>
      <c r="X315" s="11" t="s">
        <v>1004</v>
      </c>
      <c r="Y315" s="11" t="s">
        <v>261</v>
      </c>
      <c r="Z315" s="11" t="s">
        <v>1156</v>
      </c>
      <c r="AA315" s="11" t="s">
        <v>66</v>
      </c>
      <c r="AB315" s="11" t="s">
        <v>28</v>
      </c>
      <c r="AC315" s="11" t="s">
        <v>261</v>
      </c>
      <c r="AD315" s="11" t="s">
        <v>261</v>
      </c>
      <c r="AE315" s="11" t="s">
        <v>755</v>
      </c>
      <c r="AF315" s="12" t="s">
        <v>1158</v>
      </c>
      <c r="AG315" s="11" t="s">
        <v>261</v>
      </c>
    </row>
    <row r="316" spans="1:33" ht="30" x14ac:dyDescent="0.25">
      <c r="A316" s="11">
        <v>1</v>
      </c>
      <c r="B316" s="11" t="s">
        <v>261</v>
      </c>
      <c r="C316" s="11">
        <v>223186</v>
      </c>
      <c r="D316" s="11" t="s">
        <v>1140</v>
      </c>
      <c r="E316" s="11" t="str">
        <f>MID(Table2[[#This Row],[تاريخ تاييد]],1,7)</f>
        <v>1404/09</v>
      </c>
      <c r="F316" s="11" t="str">
        <f>MID(Table2[[#This Row],[تاريخ تاييد]],6,2)</f>
        <v>09</v>
      </c>
      <c r="G316" s="11" t="str">
        <f>LEFT(Table2[[#This Row],[تاريخ تاييد]],4)</f>
        <v>1404</v>
      </c>
      <c r="H316" s="11" t="str">
        <f>VLOOKUP(Table2[[#This Row],[شماره فني]],Sheet7!A:C,3,0)</f>
        <v>جلو آمپر</v>
      </c>
      <c r="I316" s="11" t="str">
        <f>VLOOKUP(Table2[[#This Row],[شماره فني]],Sheet7!A:B,2,0)</f>
        <v>جلو آمپر تارا دستی SBR</v>
      </c>
      <c r="J316" s="11" t="s">
        <v>1147</v>
      </c>
      <c r="K316" s="11" t="s">
        <v>724</v>
      </c>
      <c r="L316" s="11" t="s">
        <v>22</v>
      </c>
      <c r="M316" s="11" t="s">
        <v>1156</v>
      </c>
      <c r="N316" s="11" t="s">
        <v>261</v>
      </c>
      <c r="O316" s="11" t="s">
        <v>261</v>
      </c>
      <c r="P316" s="11" t="s">
        <v>261</v>
      </c>
      <c r="Q316" s="11" t="s">
        <v>261</v>
      </c>
      <c r="R316" s="11" t="s">
        <v>261</v>
      </c>
      <c r="S316" s="11" t="s">
        <v>261</v>
      </c>
      <c r="T316" s="11" t="s">
        <v>922</v>
      </c>
      <c r="U316" s="11" t="s">
        <v>1176</v>
      </c>
      <c r="V316" s="11" t="s">
        <v>1159</v>
      </c>
      <c r="W316" s="11">
        <v>1</v>
      </c>
      <c r="X316" s="11" t="s">
        <v>1005</v>
      </c>
      <c r="Y316" s="11" t="s">
        <v>261</v>
      </c>
      <c r="Z316" s="11" t="s">
        <v>1156</v>
      </c>
      <c r="AA316" s="11" t="s">
        <v>66</v>
      </c>
      <c r="AB316" s="11" t="s">
        <v>27</v>
      </c>
      <c r="AC316" s="12" t="s">
        <v>1160</v>
      </c>
      <c r="AD316" s="11" t="s">
        <v>1175</v>
      </c>
      <c r="AE316" s="11" t="s">
        <v>755</v>
      </c>
      <c r="AF316" s="12" t="s">
        <v>261</v>
      </c>
      <c r="AG316" s="11" t="s">
        <v>261</v>
      </c>
    </row>
    <row r="317" spans="1:33" ht="30" x14ac:dyDescent="0.25">
      <c r="A317" s="11">
        <v>1</v>
      </c>
      <c r="B317" s="11" t="s">
        <v>261</v>
      </c>
      <c r="C317" s="11">
        <v>223253</v>
      </c>
      <c r="D317" s="11" t="s">
        <v>1141</v>
      </c>
      <c r="E317" s="11" t="str">
        <f>MID(Table2[[#This Row],[تاريخ تاييد]],1,7)</f>
        <v>1404/09</v>
      </c>
      <c r="F317" s="11" t="str">
        <f>MID(Table2[[#This Row],[تاريخ تاييد]],6,2)</f>
        <v>09</v>
      </c>
      <c r="G317" s="11" t="str">
        <f>LEFT(Table2[[#This Row],[تاريخ تاييد]],4)</f>
        <v>1404</v>
      </c>
      <c r="H317" s="11" t="str">
        <f>VLOOKUP(Table2[[#This Row],[شماره فني]],Sheet7!A:C,3,0)</f>
        <v>NOD</v>
      </c>
      <c r="I317" s="11" t="str">
        <f>VLOOKUP(Table2[[#This Row],[شماره فني]],Sheet7!A:B,2,0)</f>
        <v>NBCM TARA SAL SBR</v>
      </c>
      <c r="J317" s="11" t="s">
        <v>1148</v>
      </c>
      <c r="K317" s="11" t="s">
        <v>232</v>
      </c>
      <c r="L317" s="11" t="s">
        <v>22</v>
      </c>
      <c r="M317" s="11" t="s">
        <v>1165</v>
      </c>
      <c r="N317" s="11" t="s">
        <v>261</v>
      </c>
      <c r="O317" s="11" t="s">
        <v>261</v>
      </c>
      <c r="P317" s="11" t="s">
        <v>261</v>
      </c>
      <c r="Q317" s="11" t="s">
        <v>261</v>
      </c>
      <c r="R317" s="11" t="s">
        <v>261</v>
      </c>
      <c r="S317" s="11" t="s">
        <v>1166</v>
      </c>
      <c r="T317" s="11" t="s">
        <v>822</v>
      </c>
      <c r="U317" s="11" t="s">
        <v>797</v>
      </c>
      <c r="V317" s="11" t="s">
        <v>561</v>
      </c>
      <c r="W317" s="11">
        <v>1</v>
      </c>
      <c r="X317" s="11" t="s">
        <v>1002</v>
      </c>
      <c r="Y317" s="11" t="s">
        <v>261</v>
      </c>
      <c r="Z317" s="11" t="s">
        <v>1165</v>
      </c>
      <c r="AA317" s="11" t="s">
        <v>66</v>
      </c>
      <c r="AB317" s="11" t="s">
        <v>28</v>
      </c>
      <c r="AC317" s="11" t="s">
        <v>261</v>
      </c>
      <c r="AD317" s="11" t="s">
        <v>261</v>
      </c>
      <c r="AE317" s="11" t="s">
        <v>755</v>
      </c>
      <c r="AF317" s="12" t="s">
        <v>261</v>
      </c>
      <c r="AG317" s="11" t="s">
        <v>261</v>
      </c>
    </row>
    <row r="318" spans="1:33" ht="30" x14ac:dyDescent="0.25">
      <c r="A318" s="11">
        <v>1</v>
      </c>
      <c r="B318" s="11" t="s">
        <v>261</v>
      </c>
      <c r="C318" s="11">
        <v>223400</v>
      </c>
      <c r="D318" s="11" t="s">
        <v>1142</v>
      </c>
      <c r="E318" s="11" t="str">
        <f>MID(Table2[[#This Row],[تاريخ تاييد]],1,7)</f>
        <v>1404/09</v>
      </c>
      <c r="F318" s="11" t="str">
        <f>MID(Table2[[#This Row],[تاريخ تاييد]],6,2)</f>
        <v>09</v>
      </c>
      <c r="G318" s="11" t="str">
        <f>LEFT(Table2[[#This Row],[تاريخ تاييد]],4)</f>
        <v>1404</v>
      </c>
      <c r="H318" s="11" t="str">
        <f>VLOOKUP(Table2[[#This Row],[شماره فني]],Sheet7!A:C,3,0)</f>
        <v>جلو آمپر</v>
      </c>
      <c r="I318" s="11" t="str">
        <f>VLOOKUP(Table2[[#This Row],[شماره فني]],Sheet7!A:B,2,0)</f>
        <v>جلو آمپر207 اتوماتیک85 گانه SBR</v>
      </c>
      <c r="J318" s="11" t="s">
        <v>1149</v>
      </c>
      <c r="K318" s="11" t="s">
        <v>851</v>
      </c>
      <c r="L318" s="11" t="s">
        <v>22</v>
      </c>
      <c r="M318" s="11" t="s">
        <v>1167</v>
      </c>
      <c r="N318" s="11" t="s">
        <v>261</v>
      </c>
      <c r="O318" s="11" t="s">
        <v>261</v>
      </c>
      <c r="P318" s="11" t="s">
        <v>261</v>
      </c>
      <c r="Q318" s="11" t="s">
        <v>261</v>
      </c>
      <c r="R318" s="11" t="s">
        <v>261</v>
      </c>
      <c r="S318" s="11" t="s">
        <v>1168</v>
      </c>
      <c r="T318" s="11" t="s">
        <v>801</v>
      </c>
      <c r="U318" s="11" t="s">
        <v>797</v>
      </c>
      <c r="V318" s="11" t="s">
        <v>561</v>
      </c>
      <c r="W318" s="11">
        <v>1</v>
      </c>
      <c r="X318" s="11" t="s">
        <v>1144</v>
      </c>
      <c r="Y318" s="11" t="s">
        <v>261</v>
      </c>
      <c r="Z318" s="11" t="s">
        <v>1169</v>
      </c>
      <c r="AA318" s="11" t="s">
        <v>66</v>
      </c>
      <c r="AB318" s="11" t="s">
        <v>28</v>
      </c>
      <c r="AC318" s="11" t="s">
        <v>261</v>
      </c>
      <c r="AD318" s="11" t="s">
        <v>261</v>
      </c>
      <c r="AE318" s="11" t="s">
        <v>755</v>
      </c>
      <c r="AF318" s="12" t="s">
        <v>261</v>
      </c>
      <c r="AG318" s="11" t="s">
        <v>261</v>
      </c>
    </row>
    <row r="319" spans="1:33" ht="30" x14ac:dyDescent="0.25">
      <c r="A319" s="11">
        <v>1</v>
      </c>
      <c r="B319" s="11" t="s">
        <v>261</v>
      </c>
      <c r="C319" s="11">
        <v>223527</v>
      </c>
      <c r="D319" s="11" t="s">
        <v>1143</v>
      </c>
      <c r="E319" s="11" t="str">
        <f>MID(Table2[[#This Row],[تاريخ تاييد]],1,7)</f>
        <v>1404/09</v>
      </c>
      <c r="F319" s="11" t="str">
        <f>MID(Table2[[#This Row],[تاريخ تاييد]],6,2)</f>
        <v>09</v>
      </c>
      <c r="G319" s="11" t="str">
        <f>LEFT(Table2[[#This Row],[تاريخ تاييد]],4)</f>
        <v>1404</v>
      </c>
      <c r="H319" s="11" t="str">
        <f>VLOOKUP(Table2[[#This Row],[شماره فني]],Sheet7!A:C,3,0)</f>
        <v>NOD</v>
      </c>
      <c r="I319" s="11" t="str">
        <f>VLOOKUP(Table2[[#This Row],[شماره فني]],Sheet7!A:B,2,0)</f>
        <v>NBCM TARA SAL SBR</v>
      </c>
      <c r="J319" s="11" t="s">
        <v>1150</v>
      </c>
      <c r="K319" s="11" t="s">
        <v>334</v>
      </c>
      <c r="L319" s="11" t="s">
        <v>23</v>
      </c>
      <c r="M319" s="11" t="s">
        <v>1165</v>
      </c>
      <c r="N319" s="11" t="s">
        <v>261</v>
      </c>
      <c r="O319" s="11" t="s">
        <v>261</v>
      </c>
      <c r="P319" s="11" t="s">
        <v>261</v>
      </c>
      <c r="Q319" s="11" t="s">
        <v>261</v>
      </c>
      <c r="R319" s="11" t="s">
        <v>261</v>
      </c>
      <c r="S319" s="11" t="s">
        <v>261</v>
      </c>
      <c r="T319" s="11" t="s">
        <v>261</v>
      </c>
      <c r="U319" s="11" t="s">
        <v>755</v>
      </c>
      <c r="V319" s="11" t="s">
        <v>553</v>
      </c>
      <c r="W319" s="11">
        <v>1</v>
      </c>
      <c r="X319" s="11" t="s">
        <v>1002</v>
      </c>
      <c r="Y319" s="11" t="s">
        <v>261</v>
      </c>
      <c r="Z319" s="11" t="s">
        <v>1165</v>
      </c>
      <c r="AA319" s="11" t="s">
        <v>66</v>
      </c>
      <c r="AB319" s="11" t="s">
        <v>583</v>
      </c>
      <c r="AC319" s="11" t="s">
        <v>261</v>
      </c>
      <c r="AD319" s="11" t="s">
        <v>261</v>
      </c>
      <c r="AE319" s="11" t="s">
        <v>755</v>
      </c>
      <c r="AF319" s="12" t="s">
        <v>261</v>
      </c>
      <c r="AG319" s="11" t="s">
        <v>261</v>
      </c>
    </row>
    <row r="320" spans="1:33" ht="30" x14ac:dyDescent="0.25">
      <c r="A320" s="11">
        <v>1</v>
      </c>
      <c r="B320" s="11" t="s">
        <v>261</v>
      </c>
      <c r="C320" s="11">
        <v>223529</v>
      </c>
      <c r="D320" s="11" t="s">
        <v>1143</v>
      </c>
      <c r="E320" s="11" t="str">
        <f>MID(Table2[[#This Row],[تاريخ تاييد]],1,7)</f>
        <v>1404/09</v>
      </c>
      <c r="F320" s="11" t="str">
        <f>MID(Table2[[#This Row],[تاريخ تاييد]],6,2)</f>
        <v>09</v>
      </c>
      <c r="G320" s="11" t="str">
        <f>LEFT(Table2[[#This Row],[تاريخ تاييد]],4)</f>
        <v>1404</v>
      </c>
      <c r="H320" s="11" t="str">
        <f>VLOOKUP(Table2[[#This Row],[شماره فني]],Sheet7!A:C,3,0)</f>
        <v>NOD</v>
      </c>
      <c r="I320" s="11" t="str">
        <f>VLOOKUP(Table2[[#This Row],[شماره فني]],Sheet7!A:B,2,0)</f>
        <v>SBM 207 SBR</v>
      </c>
      <c r="J320" s="11" t="s">
        <v>1151</v>
      </c>
      <c r="K320" s="11" t="s">
        <v>334</v>
      </c>
      <c r="L320" s="11" t="s">
        <v>22</v>
      </c>
      <c r="M320" s="11" t="s">
        <v>1180</v>
      </c>
      <c r="N320" s="11" t="s">
        <v>261</v>
      </c>
      <c r="O320" s="11" t="s">
        <v>261</v>
      </c>
      <c r="P320" s="11" t="s">
        <v>261</v>
      </c>
      <c r="Q320" s="11" t="s">
        <v>261</v>
      </c>
      <c r="R320" s="11" t="s">
        <v>261</v>
      </c>
      <c r="S320" s="11" t="s">
        <v>1181</v>
      </c>
      <c r="T320" s="11" t="s">
        <v>822</v>
      </c>
      <c r="U320" s="11" t="s">
        <v>1182</v>
      </c>
      <c r="V320" s="11" t="s">
        <v>553</v>
      </c>
      <c r="W320" s="11">
        <v>1</v>
      </c>
      <c r="X320" s="11" t="s">
        <v>1070</v>
      </c>
      <c r="Y320" s="11" t="s">
        <v>261</v>
      </c>
      <c r="Z320" s="11" t="s">
        <v>1180</v>
      </c>
      <c r="AA320" s="11" t="s">
        <v>66</v>
      </c>
      <c r="AB320" s="11" t="s">
        <v>26</v>
      </c>
      <c r="AC320" s="11" t="s">
        <v>261</v>
      </c>
      <c r="AD320" s="11" t="s">
        <v>261</v>
      </c>
      <c r="AE320" s="11" t="s">
        <v>552</v>
      </c>
      <c r="AF320" s="12" t="s">
        <v>261</v>
      </c>
      <c r="AG320" s="11" t="s">
        <v>261</v>
      </c>
    </row>
    <row r="321" spans="1:33" ht="45" x14ac:dyDescent="0.25">
      <c r="A321" s="11">
        <v>1</v>
      </c>
      <c r="B321" s="11" t="s">
        <v>261</v>
      </c>
      <c r="C321" s="11">
        <v>223908</v>
      </c>
      <c r="D321" s="11" t="s">
        <v>1172</v>
      </c>
      <c r="E321" s="11" t="str">
        <f>MID(Table2[[#This Row],[تاريخ تاييد]],1,7)</f>
        <v>1404/09</v>
      </c>
      <c r="F321" s="11" t="str">
        <f>MID(Table2[[#This Row],[تاريخ تاييد]],6,2)</f>
        <v>09</v>
      </c>
      <c r="G321" s="11" t="str">
        <f>LEFT(Table2[[#This Row],[تاريخ تاييد]],4)</f>
        <v>1404</v>
      </c>
      <c r="H321" s="11" t="str">
        <f>VLOOKUP(Table2[[#This Row],[شماره فني]],Sheet7!A:C,3,0)</f>
        <v>جلو آمپر</v>
      </c>
      <c r="I321" s="11" t="str">
        <f>VLOOKUP(Table2[[#This Row],[شماره فني]],Sheet7!A:B,2,0)</f>
        <v>جلو آمپر207 اتوماتیک85 گانه</v>
      </c>
      <c r="J321" s="11" t="s">
        <v>1173</v>
      </c>
      <c r="K321" s="11" t="s">
        <v>725</v>
      </c>
      <c r="L321" s="11" t="s">
        <v>261</v>
      </c>
      <c r="M321" s="11" t="s">
        <v>261</v>
      </c>
      <c r="N321" s="11" t="s">
        <v>261</v>
      </c>
      <c r="O321" s="11" t="s">
        <v>261</v>
      </c>
      <c r="P321" s="11" t="s">
        <v>261</v>
      </c>
      <c r="Q321" s="11" t="s">
        <v>261</v>
      </c>
      <c r="R321" s="11" t="s">
        <v>261</v>
      </c>
      <c r="S321" s="11" t="s">
        <v>261</v>
      </c>
      <c r="T321" s="11" t="s">
        <v>261</v>
      </c>
      <c r="U321" s="11" t="s">
        <v>552</v>
      </c>
      <c r="V321" s="11" t="s">
        <v>552</v>
      </c>
      <c r="W321" s="11">
        <v>67</v>
      </c>
      <c r="X321" s="11" t="s">
        <v>31</v>
      </c>
      <c r="Y321" s="11" t="s">
        <v>261</v>
      </c>
      <c r="Z321" s="11" t="s">
        <v>261</v>
      </c>
      <c r="AA321" s="11" t="s">
        <v>261</v>
      </c>
      <c r="AB321" s="11" t="s">
        <v>583</v>
      </c>
      <c r="AC321" s="11" t="s">
        <v>261</v>
      </c>
      <c r="AD321" s="11" t="s">
        <v>261</v>
      </c>
      <c r="AE321" s="11" t="s">
        <v>552</v>
      </c>
      <c r="AF321" s="12" t="s">
        <v>261</v>
      </c>
      <c r="AG321" s="11" t="s">
        <v>261</v>
      </c>
    </row>
    <row r="322" spans="1:33" ht="30" x14ac:dyDescent="0.25">
      <c r="A322" s="11">
        <v>1</v>
      </c>
      <c r="B322" s="11" t="s">
        <v>261</v>
      </c>
      <c r="C322" s="11">
        <v>224052</v>
      </c>
      <c r="D322" s="11" t="s">
        <v>1165</v>
      </c>
      <c r="E322" s="11" t="str">
        <f>MID(Table2[[#This Row],[تاريخ تاييد]],1,7)</f>
        <v>1404/09</v>
      </c>
      <c r="F322" s="11" t="str">
        <f>MID(Table2[[#This Row],[تاريخ تاييد]],6,2)</f>
        <v>09</v>
      </c>
      <c r="G322" s="11" t="str">
        <f>LEFT(Table2[[#This Row],[تاريخ تاييد]],4)</f>
        <v>1404</v>
      </c>
      <c r="H322" s="11" t="str">
        <f>VLOOKUP(Table2[[#This Row],[شماره فني]],Sheet7!A:C,3,0)</f>
        <v>NOD</v>
      </c>
      <c r="I322" s="11" t="str">
        <f>VLOOKUP(Table2[[#This Row],[شماره فني]],Sheet7!A:B,2,0)</f>
        <v>SBM SOREN SBR</v>
      </c>
      <c r="J322" s="11" t="s">
        <v>1174</v>
      </c>
      <c r="K322" s="11" t="s">
        <v>334</v>
      </c>
      <c r="L322" s="11" t="s">
        <v>261</v>
      </c>
      <c r="M322" s="11" t="s">
        <v>261</v>
      </c>
      <c r="N322" s="11" t="s">
        <v>261</v>
      </c>
      <c r="O322" s="11" t="s">
        <v>261</v>
      </c>
      <c r="P322" s="11" t="s">
        <v>261</v>
      </c>
      <c r="Q322" s="11" t="s">
        <v>261</v>
      </c>
      <c r="R322" s="11" t="s">
        <v>261</v>
      </c>
      <c r="S322" s="11" t="s">
        <v>261</v>
      </c>
      <c r="T322" s="11" t="s">
        <v>261</v>
      </c>
      <c r="U322" s="11" t="s">
        <v>552</v>
      </c>
      <c r="V322" s="11" t="s">
        <v>552</v>
      </c>
      <c r="W322" s="11">
        <v>1</v>
      </c>
      <c r="X322" s="11" t="s">
        <v>1128</v>
      </c>
      <c r="Y322" s="11" t="s">
        <v>261</v>
      </c>
      <c r="Z322" s="11" t="s">
        <v>261</v>
      </c>
      <c r="AA322" s="11" t="s">
        <v>261</v>
      </c>
      <c r="AB322" s="11" t="s">
        <v>583</v>
      </c>
      <c r="AC322" s="11" t="s">
        <v>261</v>
      </c>
      <c r="AD322" s="11" t="s">
        <v>261</v>
      </c>
      <c r="AE322" s="11" t="s">
        <v>552</v>
      </c>
      <c r="AF322" s="12" t="s">
        <v>261</v>
      </c>
      <c r="AG322" s="11" t="s">
        <v>261</v>
      </c>
    </row>
  </sheetData>
  <phoneticPr fontId="1" type="noConversion"/>
  <hyperlinks>
    <hyperlink ref="AG96" r:id="rId1" xr:uid="{BE719C58-CCA4-4256-8753-40B4804D476F}"/>
    <hyperlink ref="AG103" r:id="rId2" xr:uid="{6E27A8BB-7B8E-48F7-AAEF-FD3B79A8FF77}"/>
    <hyperlink ref="AG92" r:id="rId3" xr:uid="{CA67556D-41A4-4559-B645-0B40525D0D5A}"/>
    <hyperlink ref="AG97" r:id="rId4" xr:uid="{445BD715-66A6-4C2C-A568-A09519CAC925}"/>
    <hyperlink ref="AG87" r:id="rId5" xr:uid="{F2BE1895-7F84-47AE-9678-26D4644E20F6}"/>
    <hyperlink ref="AG173" r:id="rId6" xr:uid="{4B381C2A-1645-496F-BFEF-056F16E905B7}"/>
  </hyperlinks>
  <printOptions horizontalCentered="1"/>
  <pageMargins left="0" right="0" top="0" bottom="0" header="0.3" footer="0.3"/>
  <pageSetup paperSize="9" scale="10" orientation="landscape" r:id="rId7"/>
  <headerFooter>
    <oddHeader>&amp;A</oddHeader>
  </headerFooter>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3907-6BD1-4462-A3F3-63C84FA7955E}">
  <dimension ref="A3:D17"/>
  <sheetViews>
    <sheetView rightToLeft="1" workbookViewId="0">
      <selection activeCell="C11" sqref="C11:C13"/>
    </sheetView>
  </sheetViews>
  <sheetFormatPr defaultRowHeight="15" x14ac:dyDescent="0.25"/>
  <cols>
    <col min="1" max="1" width="20.7109375" bestFit="1" customWidth="1"/>
    <col min="2" max="2" width="16.28515625" bestFit="1" customWidth="1"/>
    <col min="3" max="3" width="5" bestFit="1" customWidth="1"/>
    <col min="4" max="4" width="11.28515625" bestFit="1" customWidth="1"/>
  </cols>
  <sheetData>
    <row r="3" spans="1:4" x14ac:dyDescent="0.25">
      <c r="A3" s="1" t="s">
        <v>623</v>
      </c>
      <c r="B3" s="1" t="s">
        <v>622</v>
      </c>
    </row>
    <row r="4" spans="1:4" x14ac:dyDescent="0.25">
      <c r="A4" s="1" t="s">
        <v>620</v>
      </c>
      <c r="B4" t="s">
        <v>618</v>
      </c>
      <c r="C4" t="s">
        <v>619</v>
      </c>
      <c r="D4" t="s">
        <v>621</v>
      </c>
    </row>
    <row r="5" spans="1:4" x14ac:dyDescent="0.25">
      <c r="A5" s="7" t="s">
        <v>742</v>
      </c>
      <c r="B5" s="2">
        <v>8</v>
      </c>
      <c r="C5" s="2">
        <v>10</v>
      </c>
      <c r="D5" s="2">
        <v>18</v>
      </c>
    </row>
    <row r="6" spans="1:4" x14ac:dyDescent="0.25">
      <c r="A6" s="7" t="s">
        <v>743</v>
      </c>
      <c r="B6" s="2">
        <v>23</v>
      </c>
      <c r="C6" s="2">
        <v>10</v>
      </c>
      <c r="D6" s="2">
        <v>33</v>
      </c>
    </row>
    <row r="7" spans="1:4" x14ac:dyDescent="0.25">
      <c r="A7" s="7" t="s">
        <v>744</v>
      </c>
      <c r="B7" s="2">
        <v>19</v>
      </c>
      <c r="C7" s="2">
        <v>10</v>
      </c>
      <c r="D7" s="2">
        <v>29</v>
      </c>
    </row>
    <row r="8" spans="1:4" x14ac:dyDescent="0.25">
      <c r="A8" s="7" t="s">
        <v>745</v>
      </c>
      <c r="B8" s="2">
        <v>15</v>
      </c>
      <c r="C8" s="2">
        <v>9</v>
      </c>
      <c r="D8" s="2">
        <v>24</v>
      </c>
    </row>
    <row r="9" spans="1:4" x14ac:dyDescent="0.25">
      <c r="A9" s="7" t="s">
        <v>746</v>
      </c>
      <c r="B9" s="2">
        <v>11</v>
      </c>
      <c r="C9" s="2">
        <v>11</v>
      </c>
      <c r="D9" s="2">
        <v>22</v>
      </c>
    </row>
    <row r="10" spans="1:4" x14ac:dyDescent="0.25">
      <c r="A10" s="7" t="s">
        <v>747</v>
      </c>
      <c r="B10" s="2">
        <v>18</v>
      </c>
      <c r="C10" s="2">
        <v>14</v>
      </c>
      <c r="D10" s="2">
        <v>32</v>
      </c>
    </row>
    <row r="11" spans="1:4" x14ac:dyDescent="0.25">
      <c r="A11" s="7" t="s">
        <v>748</v>
      </c>
      <c r="B11" s="2">
        <v>33</v>
      </c>
      <c r="C11" s="2">
        <v>19</v>
      </c>
      <c r="D11" s="2">
        <v>52</v>
      </c>
    </row>
    <row r="12" spans="1:4" x14ac:dyDescent="0.25">
      <c r="A12" s="7" t="s">
        <v>749</v>
      </c>
      <c r="B12" s="2">
        <v>24</v>
      </c>
      <c r="C12" s="2">
        <v>14</v>
      </c>
      <c r="D12" s="2">
        <v>38</v>
      </c>
    </row>
    <row r="13" spans="1:4" x14ac:dyDescent="0.25">
      <c r="A13" s="7" t="s">
        <v>750</v>
      </c>
      <c r="B13" s="2">
        <v>10</v>
      </c>
      <c r="C13" s="2">
        <v>9</v>
      </c>
      <c r="D13" s="2">
        <v>19</v>
      </c>
    </row>
    <row r="14" spans="1:4" x14ac:dyDescent="0.25">
      <c r="A14" s="7" t="s">
        <v>751</v>
      </c>
      <c r="B14" s="2">
        <v>22</v>
      </c>
      <c r="C14" s="2"/>
      <c r="D14" s="2">
        <v>22</v>
      </c>
    </row>
    <row r="15" spans="1:4" x14ac:dyDescent="0.25">
      <c r="A15" s="7" t="s">
        <v>752</v>
      </c>
      <c r="B15" s="2">
        <v>16</v>
      </c>
      <c r="C15" s="2"/>
      <c r="D15" s="2">
        <v>16</v>
      </c>
    </row>
    <row r="16" spans="1:4" x14ac:dyDescent="0.25">
      <c r="A16" s="7" t="s">
        <v>753</v>
      </c>
      <c r="B16" s="2">
        <v>16</v>
      </c>
      <c r="C16" s="2"/>
      <c r="D16" s="2">
        <v>16</v>
      </c>
    </row>
    <row r="17" spans="1:4" x14ac:dyDescent="0.25">
      <c r="A17" s="7" t="s">
        <v>621</v>
      </c>
      <c r="B17" s="2">
        <v>215</v>
      </c>
      <c r="C17" s="2">
        <v>106</v>
      </c>
      <c r="D17" s="2">
        <v>321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AE758-9550-472B-97AB-C5C4C37A8A4D}">
  <dimension ref="A1:C13"/>
  <sheetViews>
    <sheetView rightToLeft="1" workbookViewId="0">
      <selection activeCell="E9" sqref="E9"/>
    </sheetView>
  </sheetViews>
  <sheetFormatPr defaultRowHeight="15" x14ac:dyDescent="0.25"/>
  <sheetData>
    <row r="1" spans="1:3" x14ac:dyDescent="0.25">
      <c r="A1" t="s">
        <v>549</v>
      </c>
      <c r="B1" t="s">
        <v>618</v>
      </c>
      <c r="C1" t="s">
        <v>619</v>
      </c>
    </row>
    <row r="2" spans="1:3" x14ac:dyDescent="0.25">
      <c r="A2">
        <v>1</v>
      </c>
      <c r="B2">
        <v>8</v>
      </c>
      <c r="C2">
        <v>10</v>
      </c>
    </row>
    <row r="3" spans="1:3" x14ac:dyDescent="0.25">
      <c r="A3">
        <v>2</v>
      </c>
      <c r="B3">
        <v>23</v>
      </c>
      <c r="C3">
        <v>10</v>
      </c>
    </row>
    <row r="4" spans="1:3" x14ac:dyDescent="0.25">
      <c r="A4">
        <v>3</v>
      </c>
      <c r="B4">
        <v>19</v>
      </c>
      <c r="C4">
        <v>10</v>
      </c>
    </row>
    <row r="5" spans="1:3" x14ac:dyDescent="0.25">
      <c r="A5">
        <v>4</v>
      </c>
      <c r="B5">
        <v>15</v>
      </c>
      <c r="C5">
        <v>9</v>
      </c>
    </row>
    <row r="6" spans="1:3" x14ac:dyDescent="0.25">
      <c r="A6">
        <v>5</v>
      </c>
      <c r="B6">
        <v>11</v>
      </c>
      <c r="C6">
        <v>11</v>
      </c>
    </row>
    <row r="7" spans="1:3" x14ac:dyDescent="0.25">
      <c r="A7">
        <v>6</v>
      </c>
      <c r="B7">
        <v>18</v>
      </c>
      <c r="C7">
        <v>14</v>
      </c>
    </row>
    <row r="8" spans="1:3" x14ac:dyDescent="0.25">
      <c r="A8">
        <v>7</v>
      </c>
      <c r="B8">
        <v>33</v>
      </c>
      <c r="C8">
        <v>19</v>
      </c>
    </row>
    <row r="9" spans="1:3" x14ac:dyDescent="0.25">
      <c r="A9">
        <v>8</v>
      </c>
      <c r="B9">
        <v>24</v>
      </c>
      <c r="C9">
        <v>14</v>
      </c>
    </row>
    <row r="10" spans="1:3" x14ac:dyDescent="0.25">
      <c r="A10">
        <v>9</v>
      </c>
      <c r="B10">
        <v>10</v>
      </c>
      <c r="C10">
        <v>9</v>
      </c>
    </row>
    <row r="11" spans="1:3" x14ac:dyDescent="0.25">
      <c r="A11">
        <v>10</v>
      </c>
      <c r="B11">
        <v>22</v>
      </c>
    </row>
    <row r="12" spans="1:3" x14ac:dyDescent="0.25">
      <c r="A12">
        <v>11</v>
      </c>
      <c r="B12">
        <v>16</v>
      </c>
    </row>
    <row r="13" spans="1:3" x14ac:dyDescent="0.25">
      <c r="A13">
        <v>12</v>
      </c>
      <c r="B13">
        <v>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2C5E1-B6A6-4BAB-BB74-B265D1AAD088}">
  <dimension ref="A1:C13"/>
  <sheetViews>
    <sheetView rightToLeft="1" workbookViewId="0">
      <selection activeCell="A14" sqref="A14:XFD1048576"/>
    </sheetView>
  </sheetViews>
  <sheetFormatPr defaultRowHeight="15" x14ac:dyDescent="0.25"/>
  <cols>
    <col min="1" max="1" width="9.28515625" bestFit="1" customWidth="1"/>
    <col min="2" max="3" width="11.5703125" bestFit="1" customWidth="1"/>
  </cols>
  <sheetData>
    <row r="1" spans="1:3" x14ac:dyDescent="0.25">
      <c r="A1" s="4" t="s">
        <v>549</v>
      </c>
      <c r="B1" s="4" t="s">
        <v>618</v>
      </c>
      <c r="C1" s="4" t="s">
        <v>619</v>
      </c>
    </row>
    <row r="2" spans="1:3" x14ac:dyDescent="0.25">
      <c r="A2" s="4">
        <v>1</v>
      </c>
      <c r="B2" s="5">
        <v>0</v>
      </c>
      <c r="C2" s="5">
        <v>176618</v>
      </c>
    </row>
    <row r="3" spans="1:3" x14ac:dyDescent="0.25">
      <c r="A3" s="4">
        <v>2</v>
      </c>
      <c r="B3" s="5">
        <v>0</v>
      </c>
      <c r="C3" s="5">
        <v>0</v>
      </c>
    </row>
    <row r="4" spans="1:3" x14ac:dyDescent="0.25">
      <c r="A4" s="4">
        <v>3</v>
      </c>
      <c r="B4" s="5">
        <v>306378</v>
      </c>
      <c r="C4" s="5">
        <v>0</v>
      </c>
    </row>
    <row r="5" spans="1:3" x14ac:dyDescent="0.25">
      <c r="A5" s="4">
        <v>4</v>
      </c>
      <c r="B5" s="5">
        <v>369318</v>
      </c>
      <c r="C5" s="5">
        <v>0</v>
      </c>
    </row>
    <row r="6" spans="1:3" x14ac:dyDescent="0.25">
      <c r="A6" s="4">
        <v>5</v>
      </c>
      <c r="B6" s="5">
        <v>293538</v>
      </c>
      <c r="C6" s="5">
        <v>0</v>
      </c>
    </row>
    <row r="7" spans="1:3" x14ac:dyDescent="0.25">
      <c r="A7" s="4">
        <v>6</v>
      </c>
      <c r="B7" s="5">
        <v>281013</v>
      </c>
      <c r="C7" s="5">
        <v>0</v>
      </c>
    </row>
    <row r="8" spans="1:3" x14ac:dyDescent="0.25">
      <c r="A8" s="4">
        <v>7</v>
      </c>
      <c r="B8" s="5">
        <v>330050</v>
      </c>
      <c r="C8" s="5">
        <v>0</v>
      </c>
    </row>
    <row r="9" spans="1:3" x14ac:dyDescent="0.25">
      <c r="A9" s="4">
        <v>8</v>
      </c>
      <c r="B9" s="5">
        <v>271098</v>
      </c>
      <c r="C9" s="5">
        <v>0</v>
      </c>
    </row>
    <row r="10" spans="1:3" x14ac:dyDescent="0.25">
      <c r="A10" s="4">
        <v>9</v>
      </c>
      <c r="B10" s="5">
        <v>239414</v>
      </c>
      <c r="C10" s="5">
        <v>0</v>
      </c>
    </row>
    <row r="11" spans="1:3" x14ac:dyDescent="0.25">
      <c r="A11" s="4">
        <v>10</v>
      </c>
      <c r="B11" s="5">
        <v>325740</v>
      </c>
      <c r="C11" s="5">
        <v>0</v>
      </c>
    </row>
    <row r="12" spans="1:3" x14ac:dyDescent="0.25">
      <c r="A12" s="4">
        <v>11</v>
      </c>
      <c r="B12" s="5">
        <v>308232</v>
      </c>
      <c r="C12" s="5">
        <v>0</v>
      </c>
    </row>
    <row r="13" spans="1:3" x14ac:dyDescent="0.25">
      <c r="A13" s="4">
        <v>12</v>
      </c>
      <c r="B13" s="5">
        <v>273523</v>
      </c>
      <c r="C13" s="5">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FD6C9-2742-4130-A5A2-7F72B3850667}">
  <dimension ref="A1:B18"/>
  <sheetViews>
    <sheetView rightToLeft="1" workbookViewId="0">
      <selection activeCell="F11" sqref="F11"/>
    </sheetView>
  </sheetViews>
  <sheetFormatPr defaultRowHeight="15" x14ac:dyDescent="0.25"/>
  <cols>
    <col min="1" max="1" width="9.140625" style="9"/>
    <col min="2" max="2" width="13.85546875" style="10" customWidth="1"/>
  </cols>
  <sheetData>
    <row r="1" spans="1:2" x14ac:dyDescent="0.25">
      <c r="A1" s="8" t="s">
        <v>624</v>
      </c>
      <c r="B1" s="4" t="s">
        <v>635</v>
      </c>
    </row>
    <row r="2" spans="1:2" x14ac:dyDescent="0.25">
      <c r="A2" s="8" t="s">
        <v>636</v>
      </c>
      <c r="B2" s="4">
        <v>7536</v>
      </c>
    </row>
    <row r="3" spans="1:2" x14ac:dyDescent="0.25">
      <c r="A3" s="8" t="s">
        <v>637</v>
      </c>
      <c r="B3" s="4">
        <v>7284</v>
      </c>
    </row>
    <row r="4" spans="1:2" x14ac:dyDescent="0.25">
      <c r="A4" s="8" t="s">
        <v>625</v>
      </c>
      <c r="B4" s="4">
        <v>7238</v>
      </c>
    </row>
    <row r="5" spans="1:2" x14ac:dyDescent="0.25">
      <c r="A5" s="8" t="s">
        <v>626</v>
      </c>
      <c r="B5" s="4">
        <v>69457</v>
      </c>
    </row>
    <row r="6" spans="1:2" x14ac:dyDescent="0.25">
      <c r="A6" s="8" t="s">
        <v>627</v>
      </c>
      <c r="B6" s="4">
        <v>6400</v>
      </c>
    </row>
    <row r="7" spans="1:2" x14ac:dyDescent="0.25">
      <c r="A7" s="8" t="s">
        <v>628</v>
      </c>
      <c r="B7" s="4">
        <v>7490</v>
      </c>
    </row>
    <row r="8" spans="1:2" x14ac:dyDescent="0.25">
      <c r="A8" s="8" t="s">
        <v>629</v>
      </c>
      <c r="B8" s="4">
        <v>7344</v>
      </c>
    </row>
    <row r="9" spans="1:2" x14ac:dyDescent="0.25">
      <c r="A9" s="8" t="s">
        <v>630</v>
      </c>
      <c r="B9" s="4">
        <v>7052</v>
      </c>
    </row>
    <row r="10" spans="1:2" x14ac:dyDescent="0.25">
      <c r="A10" s="8" t="s">
        <v>631</v>
      </c>
      <c r="B10" s="4">
        <v>7140</v>
      </c>
    </row>
    <row r="11" spans="1:2" x14ac:dyDescent="0.25">
      <c r="A11" s="8" t="s">
        <v>632</v>
      </c>
      <c r="B11" s="4">
        <v>6517</v>
      </c>
    </row>
    <row r="12" spans="1:2" x14ac:dyDescent="0.25">
      <c r="A12" s="8" t="s">
        <v>633</v>
      </c>
      <c r="B12" s="4">
        <v>6758</v>
      </c>
    </row>
    <row r="13" spans="1:2" x14ac:dyDescent="0.25">
      <c r="A13" s="8" t="s">
        <v>634</v>
      </c>
      <c r="B13" s="4">
        <v>5990</v>
      </c>
    </row>
    <row r="14" spans="1:2" x14ac:dyDescent="0.25">
      <c r="A14" s="8" t="s">
        <v>891</v>
      </c>
      <c r="B14" s="4">
        <v>5617</v>
      </c>
    </row>
    <row r="15" spans="1:2" x14ac:dyDescent="0.25">
      <c r="A15" s="8" t="s">
        <v>892</v>
      </c>
      <c r="B15" s="4">
        <v>5373</v>
      </c>
    </row>
    <row r="16" spans="1:2" x14ac:dyDescent="0.25">
      <c r="A16" s="8" t="s">
        <v>917</v>
      </c>
      <c r="B16" s="4">
        <v>5090</v>
      </c>
    </row>
    <row r="17" spans="1:2" x14ac:dyDescent="0.25">
      <c r="A17" s="8" t="s">
        <v>991</v>
      </c>
      <c r="B17" s="4">
        <v>4658</v>
      </c>
    </row>
    <row r="18" spans="1:2" x14ac:dyDescent="0.25">
      <c r="A18" s="8" t="s">
        <v>1044</v>
      </c>
      <c r="B18" s="4">
        <v>3983</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0D720-D996-4C4A-978D-EAE0E3942256}">
  <dimension ref="A1:B16"/>
  <sheetViews>
    <sheetView rightToLeft="1" workbookViewId="0">
      <selection activeCell="B16" sqref="B16"/>
    </sheetView>
  </sheetViews>
  <sheetFormatPr defaultRowHeight="15" x14ac:dyDescent="0.25"/>
  <cols>
    <col min="1" max="1" width="15" customWidth="1"/>
    <col min="2" max="2" width="20.85546875" customWidth="1"/>
  </cols>
  <sheetData>
    <row r="1" spans="1:2" x14ac:dyDescent="0.25">
      <c r="A1" s="3" t="s">
        <v>549</v>
      </c>
      <c r="B1" s="3" t="s">
        <v>638</v>
      </c>
    </row>
    <row r="2" spans="1:2" x14ac:dyDescent="0.25">
      <c r="A2" s="8" t="s">
        <v>626</v>
      </c>
      <c r="B2" s="3">
        <v>53.81</v>
      </c>
    </row>
    <row r="3" spans="1:2" x14ac:dyDescent="0.25">
      <c r="A3" s="8" t="s">
        <v>627</v>
      </c>
      <c r="B3" s="3">
        <v>58.49</v>
      </c>
    </row>
    <row r="4" spans="1:2" x14ac:dyDescent="0.25">
      <c r="A4" s="8" t="s">
        <v>628</v>
      </c>
      <c r="B4" s="3">
        <v>71.599999999999994</v>
      </c>
    </row>
    <row r="5" spans="1:2" x14ac:dyDescent="0.25">
      <c r="A5" s="8" t="s">
        <v>629</v>
      </c>
      <c r="B5" s="3">
        <v>76.489999999999995</v>
      </c>
    </row>
    <row r="6" spans="1:2" x14ac:dyDescent="0.25">
      <c r="A6" s="8" t="s">
        <v>630</v>
      </c>
      <c r="B6" s="3">
        <v>75.19</v>
      </c>
    </row>
    <row r="7" spans="1:2" x14ac:dyDescent="0.25">
      <c r="A7" s="8" t="s">
        <v>631</v>
      </c>
      <c r="B7" s="3">
        <v>75.69</v>
      </c>
    </row>
    <row r="8" spans="1:2" x14ac:dyDescent="0.25">
      <c r="A8" s="8" t="s">
        <v>632</v>
      </c>
      <c r="B8" s="3">
        <v>76.47</v>
      </c>
    </row>
    <row r="9" spans="1:2" x14ac:dyDescent="0.25">
      <c r="A9" s="8" t="s">
        <v>633</v>
      </c>
      <c r="B9" s="3">
        <v>71.680000000000007</v>
      </c>
    </row>
    <row r="10" spans="1:2" x14ac:dyDescent="0.25">
      <c r="A10" s="8" t="s">
        <v>634</v>
      </c>
      <c r="B10" s="3">
        <v>76.56</v>
      </c>
    </row>
    <row r="11" spans="1:2" x14ac:dyDescent="0.25">
      <c r="A11" s="8" t="s">
        <v>891</v>
      </c>
      <c r="B11" s="3">
        <v>76.599999999999994</v>
      </c>
    </row>
    <row r="12" spans="1:2" x14ac:dyDescent="0.25">
      <c r="A12" s="8" t="s">
        <v>892</v>
      </c>
      <c r="B12" s="3">
        <v>77.64</v>
      </c>
    </row>
    <row r="13" spans="1:2" x14ac:dyDescent="0.25">
      <c r="A13" s="8" t="s">
        <v>917</v>
      </c>
      <c r="B13" s="3">
        <v>78.069999999999993</v>
      </c>
    </row>
    <row r="14" spans="1:2" x14ac:dyDescent="0.25">
      <c r="A14" s="8" t="s">
        <v>991</v>
      </c>
      <c r="B14" s="3">
        <v>82.31</v>
      </c>
    </row>
    <row r="15" spans="1:2" x14ac:dyDescent="0.25">
      <c r="A15" s="8" t="s">
        <v>1044</v>
      </c>
      <c r="B15" s="3">
        <v>80.989999999999995</v>
      </c>
    </row>
    <row r="16" spans="1:2" x14ac:dyDescent="0.25">
      <c r="A16" s="8" t="s">
        <v>1082</v>
      </c>
      <c r="B16" s="3">
        <v>82.23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3ED2A-B967-4D6D-85F8-5D7F392F7D3C}">
  <dimension ref="A1:B2"/>
  <sheetViews>
    <sheetView rightToLeft="1" workbookViewId="0">
      <selection activeCell="D7" sqref="D7"/>
    </sheetView>
  </sheetViews>
  <sheetFormatPr defaultRowHeight="15" x14ac:dyDescent="0.25"/>
  <cols>
    <col min="1" max="2" width="11" customWidth="1"/>
  </cols>
  <sheetData>
    <row r="1" spans="1:2" x14ac:dyDescent="0.25">
      <c r="A1" t="s">
        <v>641</v>
      </c>
      <c r="B1" t="s">
        <v>642</v>
      </c>
    </row>
    <row r="2" spans="1:2" x14ac:dyDescent="0.25">
      <c r="A2" t="s">
        <v>640</v>
      </c>
      <c r="B2">
        <v>82.23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7065E-263C-45DB-A640-530286D9DA0E}">
  <dimension ref="A3:H17"/>
  <sheetViews>
    <sheetView rightToLeft="1" workbookViewId="0">
      <selection activeCell="F11" sqref="F11"/>
    </sheetView>
  </sheetViews>
  <sheetFormatPr defaultRowHeight="15" x14ac:dyDescent="0.25"/>
  <cols>
    <col min="1" max="1" width="20.7109375" bestFit="1" customWidth="1"/>
    <col min="2" max="2" width="16.28515625" bestFit="1" customWidth="1"/>
    <col min="3" max="3" width="7.140625" bestFit="1" customWidth="1"/>
    <col min="4" max="4" width="4.5703125" bestFit="1" customWidth="1"/>
    <col min="5" max="6" width="8.140625" bestFit="1" customWidth="1"/>
    <col min="7" max="7" width="8.7109375" bestFit="1" customWidth="1"/>
    <col min="8" max="8" width="11.28515625" bestFit="1" customWidth="1"/>
  </cols>
  <sheetData>
    <row r="3" spans="1:8" x14ac:dyDescent="0.25">
      <c r="A3" s="1" t="s">
        <v>623</v>
      </c>
      <c r="B3" s="1" t="s">
        <v>622</v>
      </c>
    </row>
    <row r="4" spans="1:8" x14ac:dyDescent="0.25">
      <c r="A4" s="1" t="s">
        <v>620</v>
      </c>
      <c r="B4" t="s">
        <v>26</v>
      </c>
      <c r="C4" t="s">
        <v>27</v>
      </c>
      <c r="D4" t="s">
        <v>29</v>
      </c>
      <c r="E4" t="s">
        <v>28</v>
      </c>
      <c r="F4" t="s">
        <v>583</v>
      </c>
      <c r="G4" t="s">
        <v>998</v>
      </c>
      <c r="H4" t="s">
        <v>621</v>
      </c>
    </row>
    <row r="5" spans="1:8" x14ac:dyDescent="0.25">
      <c r="A5" s="7" t="s">
        <v>742</v>
      </c>
      <c r="B5" s="2">
        <v>1</v>
      </c>
      <c r="C5" s="2">
        <v>3</v>
      </c>
      <c r="D5" s="2">
        <v>1</v>
      </c>
      <c r="E5" s="2">
        <v>4</v>
      </c>
      <c r="F5" s="2">
        <v>9</v>
      </c>
      <c r="G5" s="2"/>
      <c r="H5" s="2">
        <v>18</v>
      </c>
    </row>
    <row r="6" spans="1:8" x14ac:dyDescent="0.25">
      <c r="A6" s="7" t="s">
        <v>743</v>
      </c>
      <c r="B6" s="2">
        <v>4</v>
      </c>
      <c r="C6" s="2">
        <v>8</v>
      </c>
      <c r="D6" s="2">
        <v>4</v>
      </c>
      <c r="E6" s="2">
        <v>7</v>
      </c>
      <c r="F6" s="2">
        <v>9</v>
      </c>
      <c r="G6" s="2">
        <v>1</v>
      </c>
      <c r="H6" s="2">
        <v>33</v>
      </c>
    </row>
    <row r="7" spans="1:8" x14ac:dyDescent="0.25">
      <c r="A7" s="7" t="s">
        <v>744</v>
      </c>
      <c r="B7" s="2">
        <v>4</v>
      </c>
      <c r="C7" s="2">
        <v>3</v>
      </c>
      <c r="D7" s="2">
        <v>1</v>
      </c>
      <c r="E7" s="2">
        <v>12</v>
      </c>
      <c r="F7" s="2">
        <v>9</v>
      </c>
      <c r="G7" s="2"/>
      <c r="H7" s="2">
        <v>29</v>
      </c>
    </row>
    <row r="8" spans="1:8" x14ac:dyDescent="0.25">
      <c r="A8" s="7" t="s">
        <v>745</v>
      </c>
      <c r="B8" s="2">
        <v>2</v>
      </c>
      <c r="C8" s="2">
        <v>2</v>
      </c>
      <c r="D8" s="2">
        <v>1</v>
      </c>
      <c r="E8" s="2">
        <v>5</v>
      </c>
      <c r="F8" s="2">
        <v>14</v>
      </c>
      <c r="G8" s="2"/>
      <c r="H8" s="2">
        <v>24</v>
      </c>
    </row>
    <row r="9" spans="1:8" x14ac:dyDescent="0.25">
      <c r="A9" s="7" t="s">
        <v>746</v>
      </c>
      <c r="B9" s="2"/>
      <c r="C9" s="2">
        <v>2</v>
      </c>
      <c r="D9" s="2">
        <v>1</v>
      </c>
      <c r="E9" s="2">
        <v>4</v>
      </c>
      <c r="F9" s="2">
        <v>15</v>
      </c>
      <c r="G9" s="2"/>
      <c r="H9" s="2">
        <v>22</v>
      </c>
    </row>
    <row r="10" spans="1:8" x14ac:dyDescent="0.25">
      <c r="A10" s="7" t="s">
        <v>747</v>
      </c>
      <c r="B10" s="2">
        <v>1</v>
      </c>
      <c r="C10" s="2">
        <v>1</v>
      </c>
      <c r="D10" s="2">
        <v>3</v>
      </c>
      <c r="E10" s="2">
        <v>11</v>
      </c>
      <c r="F10" s="2">
        <v>16</v>
      </c>
      <c r="G10" s="2"/>
      <c r="H10" s="2">
        <v>32</v>
      </c>
    </row>
    <row r="11" spans="1:8" x14ac:dyDescent="0.25">
      <c r="A11" s="7" t="s">
        <v>748</v>
      </c>
      <c r="B11" s="2">
        <v>5</v>
      </c>
      <c r="C11" s="2">
        <v>5</v>
      </c>
      <c r="D11" s="2">
        <v>5</v>
      </c>
      <c r="E11" s="2">
        <v>10</v>
      </c>
      <c r="F11" s="2">
        <v>27</v>
      </c>
      <c r="G11" s="2"/>
      <c r="H11" s="2">
        <v>52</v>
      </c>
    </row>
    <row r="12" spans="1:8" x14ac:dyDescent="0.25">
      <c r="A12" s="7" t="s">
        <v>749</v>
      </c>
      <c r="B12" s="2">
        <v>5</v>
      </c>
      <c r="C12" s="2">
        <v>1</v>
      </c>
      <c r="D12" s="2">
        <v>2</v>
      </c>
      <c r="E12" s="2">
        <v>9</v>
      </c>
      <c r="F12" s="2">
        <v>21</v>
      </c>
      <c r="G12" s="2"/>
      <c r="H12" s="2">
        <v>38</v>
      </c>
    </row>
    <row r="13" spans="1:8" x14ac:dyDescent="0.25">
      <c r="A13" s="7" t="s">
        <v>750</v>
      </c>
      <c r="B13" s="2"/>
      <c r="C13" s="2">
        <v>4</v>
      </c>
      <c r="D13" s="2">
        <v>1</v>
      </c>
      <c r="E13" s="2">
        <v>4</v>
      </c>
      <c r="F13" s="2">
        <v>10</v>
      </c>
      <c r="G13" s="2"/>
      <c r="H13" s="2">
        <v>19</v>
      </c>
    </row>
    <row r="14" spans="1:8" x14ac:dyDescent="0.25">
      <c r="A14" s="7" t="s">
        <v>751</v>
      </c>
      <c r="B14" s="2">
        <v>1</v>
      </c>
      <c r="C14" s="2">
        <v>3</v>
      </c>
      <c r="D14" s="2">
        <v>1</v>
      </c>
      <c r="E14" s="2">
        <v>8</v>
      </c>
      <c r="F14" s="2">
        <v>9</v>
      </c>
      <c r="G14" s="2"/>
      <c r="H14" s="2">
        <v>22</v>
      </c>
    </row>
    <row r="15" spans="1:8" x14ac:dyDescent="0.25">
      <c r="A15" s="7" t="s">
        <v>752</v>
      </c>
      <c r="B15" s="2"/>
      <c r="C15" s="2">
        <v>1</v>
      </c>
      <c r="D15" s="2">
        <v>2</v>
      </c>
      <c r="E15" s="2">
        <v>4</v>
      </c>
      <c r="F15" s="2">
        <v>9</v>
      </c>
      <c r="G15" s="2"/>
      <c r="H15" s="2">
        <v>16</v>
      </c>
    </row>
    <row r="16" spans="1:8" x14ac:dyDescent="0.25">
      <c r="A16" s="7" t="s">
        <v>753</v>
      </c>
      <c r="B16" s="2">
        <v>1</v>
      </c>
      <c r="C16" s="2">
        <v>2</v>
      </c>
      <c r="D16" s="2">
        <v>2</v>
      </c>
      <c r="E16" s="2">
        <v>3</v>
      </c>
      <c r="F16" s="2">
        <v>8</v>
      </c>
      <c r="G16" s="2"/>
      <c r="H16" s="2">
        <v>16</v>
      </c>
    </row>
    <row r="17" spans="1:8" x14ac:dyDescent="0.25">
      <c r="A17" s="7" t="s">
        <v>621</v>
      </c>
      <c r="B17" s="2">
        <v>24</v>
      </c>
      <c r="C17" s="2">
        <v>35</v>
      </c>
      <c r="D17" s="2">
        <v>24</v>
      </c>
      <c r="E17" s="2">
        <v>81</v>
      </c>
      <c r="F17" s="2">
        <v>156</v>
      </c>
      <c r="G17" s="2">
        <v>1</v>
      </c>
      <c r="H17" s="2">
        <v>321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15B50-1BAD-4263-B5B9-9B4584C7F697}">
  <dimension ref="A1:F13"/>
  <sheetViews>
    <sheetView rightToLeft="1" workbookViewId="0">
      <selection activeCell="E22" sqref="E22"/>
    </sheetView>
  </sheetViews>
  <sheetFormatPr defaultRowHeight="15" x14ac:dyDescent="0.25"/>
  <cols>
    <col min="1" max="1" width="13" style="3" customWidth="1"/>
    <col min="2" max="2" width="9.140625" style="3"/>
    <col min="3" max="3" width="9.28515625" style="3" customWidth="1"/>
    <col min="4" max="4" width="9.140625" style="3"/>
    <col min="5" max="5" width="10.28515625" style="3" customWidth="1"/>
    <col min="6" max="6" width="12.7109375" style="3" bestFit="1" customWidth="1"/>
  </cols>
  <sheetData>
    <row r="1" spans="1:6" x14ac:dyDescent="0.25">
      <c r="A1" s="3" t="s">
        <v>549</v>
      </c>
      <c r="B1" s="3" t="s">
        <v>26</v>
      </c>
      <c r="C1" s="3" t="s">
        <v>27</v>
      </c>
      <c r="D1" s="3" t="s">
        <v>29</v>
      </c>
      <c r="E1" s="3" t="s">
        <v>28</v>
      </c>
      <c r="F1" s="3" t="s">
        <v>583</v>
      </c>
    </row>
    <row r="2" spans="1:6" x14ac:dyDescent="0.25">
      <c r="A2" s="3" t="s">
        <v>742</v>
      </c>
      <c r="B2" s="3">
        <v>1</v>
      </c>
      <c r="C2" s="3">
        <v>2</v>
      </c>
      <c r="D2" s="3">
        <v>0</v>
      </c>
      <c r="E2" s="3">
        <v>3</v>
      </c>
      <c r="F2" s="3">
        <v>12</v>
      </c>
    </row>
    <row r="3" spans="1:6" x14ac:dyDescent="0.25">
      <c r="A3" s="3" t="s">
        <v>743</v>
      </c>
      <c r="B3" s="3">
        <v>3</v>
      </c>
      <c r="C3" s="3">
        <v>6</v>
      </c>
      <c r="D3" s="3">
        <v>5</v>
      </c>
      <c r="E3" s="3">
        <v>7</v>
      </c>
      <c r="F3" s="3">
        <v>12</v>
      </c>
    </row>
    <row r="4" spans="1:6" x14ac:dyDescent="0.25">
      <c r="A4" s="3" t="s">
        <v>744</v>
      </c>
      <c r="B4" s="3">
        <v>2</v>
      </c>
      <c r="C4" s="3">
        <v>2</v>
      </c>
      <c r="D4" s="3">
        <v>1</v>
      </c>
      <c r="E4" s="3">
        <v>9</v>
      </c>
      <c r="F4" s="3">
        <v>5</v>
      </c>
    </row>
    <row r="5" spans="1:6" x14ac:dyDescent="0.25">
      <c r="A5" s="3" t="s">
        <v>745</v>
      </c>
      <c r="B5" s="3">
        <v>1</v>
      </c>
      <c r="C5" s="3">
        <v>2</v>
      </c>
      <c r="D5" s="3">
        <v>1</v>
      </c>
      <c r="E5" s="3">
        <v>4</v>
      </c>
      <c r="F5" s="3">
        <v>7</v>
      </c>
    </row>
    <row r="6" spans="1:6" x14ac:dyDescent="0.25">
      <c r="A6" s="3" t="s">
        <v>746</v>
      </c>
      <c r="B6" s="3">
        <v>0</v>
      </c>
      <c r="C6" s="3">
        <v>1</v>
      </c>
      <c r="D6" s="3">
        <v>0</v>
      </c>
      <c r="E6" s="3">
        <v>2</v>
      </c>
      <c r="F6" s="3">
        <v>8</v>
      </c>
    </row>
    <row r="7" spans="1:6" x14ac:dyDescent="0.25">
      <c r="A7" s="3" t="s">
        <v>747</v>
      </c>
      <c r="B7" s="3">
        <v>1</v>
      </c>
      <c r="C7" s="3">
        <v>1</v>
      </c>
      <c r="D7" s="3">
        <v>2</v>
      </c>
      <c r="E7" s="3">
        <v>6</v>
      </c>
      <c r="F7" s="3">
        <v>8</v>
      </c>
    </row>
    <row r="8" spans="1:6" x14ac:dyDescent="0.25">
      <c r="A8" s="3" t="s">
        <v>748</v>
      </c>
      <c r="B8" s="3">
        <v>3</v>
      </c>
      <c r="C8" s="3">
        <v>3</v>
      </c>
      <c r="D8" s="3">
        <v>5</v>
      </c>
      <c r="E8" s="3">
        <v>9</v>
      </c>
      <c r="F8" s="3">
        <v>13</v>
      </c>
    </row>
    <row r="9" spans="1:6" x14ac:dyDescent="0.25">
      <c r="A9" s="3" t="s">
        <v>749</v>
      </c>
      <c r="B9" s="3">
        <v>3</v>
      </c>
      <c r="C9" s="3">
        <v>1</v>
      </c>
      <c r="D9" s="3">
        <v>2</v>
      </c>
      <c r="E9" s="3">
        <v>6</v>
      </c>
      <c r="F9" s="3">
        <v>12</v>
      </c>
    </row>
    <row r="10" spans="1:6" x14ac:dyDescent="0.25">
      <c r="A10" s="3" t="s">
        <v>750</v>
      </c>
      <c r="B10" s="3">
        <v>0</v>
      </c>
      <c r="C10" s="3">
        <v>3</v>
      </c>
      <c r="D10" s="3">
        <v>1</v>
      </c>
      <c r="E10" s="3">
        <v>1</v>
      </c>
      <c r="F10" s="3">
        <v>5</v>
      </c>
    </row>
    <row r="11" spans="1:6" x14ac:dyDescent="0.25">
      <c r="A11" s="3" t="s">
        <v>751</v>
      </c>
      <c r="B11" s="3">
        <v>1</v>
      </c>
      <c r="C11" s="3">
        <v>3</v>
      </c>
      <c r="D11" s="3">
        <v>1</v>
      </c>
      <c r="E11" s="3">
        <v>8</v>
      </c>
      <c r="F11" s="3">
        <v>9</v>
      </c>
    </row>
    <row r="12" spans="1:6" x14ac:dyDescent="0.25">
      <c r="A12" s="3" t="s">
        <v>752</v>
      </c>
      <c r="B12" s="3">
        <v>0</v>
      </c>
      <c r="C12" s="3">
        <v>1</v>
      </c>
      <c r="D12" s="3">
        <v>1</v>
      </c>
      <c r="E12" s="3">
        <v>4</v>
      </c>
      <c r="F12" s="3">
        <v>10</v>
      </c>
    </row>
    <row r="13" spans="1:6" x14ac:dyDescent="0.25">
      <c r="A13" s="3" t="s">
        <v>753</v>
      </c>
      <c r="B13" s="3">
        <v>0</v>
      </c>
      <c r="C13" s="3">
        <v>2</v>
      </c>
      <c r="D13" s="3">
        <v>1</v>
      </c>
      <c r="E13" s="3">
        <v>2</v>
      </c>
      <c r="F13" s="3">
        <v>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ECA1A3-717C-4ED7-A98E-A4CCFDABF6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Sheet7</vt:lpstr>
      <vt:lpstr>لیست قطعات برگشتی1403 (2)</vt:lpstr>
      <vt:lpstr>لیست قطعات برگشتی1403</vt:lpstr>
      <vt:lpstr>Sheet1</vt:lpstr>
      <vt:lpstr>ماه</vt:lpstr>
      <vt:lpstr>ارسال</vt:lpstr>
      <vt:lpstr>PPM</vt:lpstr>
      <vt:lpstr>نمره عملکرد</vt:lpstr>
      <vt:lpstr>Sheet4</vt:lpstr>
      <vt:lpstr>Sheet5</vt:lpstr>
      <vt:lpstr>6M</vt:lpstr>
      <vt:lpstr>'لیست قطعات برگشتی1403'!Print_Area</vt:lpstr>
      <vt:lpstr>'لیست قطعات برگشتی1403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2026-01-07T12:32:07Z</dcterms:modified>
</cp:coreProperties>
</file>